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caebf7e6f144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711f41ef2e1c473e"/>
    <x:sheet xmlns:r="http://schemas.openxmlformats.org/officeDocument/2006/relationships" name="Locale_Costs" sheetId="2" r:id="R88d234729191448b"/>
    <x:sheet xmlns:r="http://schemas.openxmlformats.org/officeDocument/2006/relationships" name="Scenarios" sheetId="3" r:id="Rc9f8af7d5055476b"/>
    <x:sheet xmlns:r="http://schemas.openxmlformats.org/officeDocument/2006/relationships" name="Notes" sheetId="4" r:id="R945cca44a5494b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7C3AED"/>
      </x:patternFill>
    </x:fill>
    <x:fill>
      <x:patternFill patternType="solid">
        <x:fgColor rgb="1D4ED8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0380b0b64f4b07" /><Relationship Type="http://schemas.openxmlformats.org/officeDocument/2006/relationships/theme" Target="/xl/theme/theme1.xml" Id="R670e362d24444e22" /><Relationship Type="http://schemas.openxmlformats.org/officeDocument/2006/relationships/sharedStrings" Target="/xl/sharedStrings.xml" Id="R6b75e2fd489a4bb5" /><Relationship Type="http://schemas.openxmlformats.org/officeDocument/2006/relationships/worksheet" Target="/xl/worksheets/sheet1.xml" Id="R711f41ef2e1c473e" /><Relationship Type="http://schemas.openxmlformats.org/officeDocument/2006/relationships/worksheet" Target="/xl/worksheets/sheet2.xml" Id="R88d234729191448b" /><Relationship Type="http://schemas.openxmlformats.org/officeDocument/2006/relationships/worksheet" Target="/xl/worksheets/sheet3.xml" Id="Rc9f8af7d5055476b" /><Relationship Type="http://schemas.openxmlformats.org/officeDocument/2006/relationships/worksheet" Target="/xl/worksheets/sheet4.xml" Id="R945cca44a5494b69" /></Relationships>
</file>

<file path=xl/tables/table1.xml><?xml version="1.0" encoding="utf-8"?>
<x:table xmlns:x="http://schemas.openxmlformats.org/spreadsheetml/2006/main" id="1" name="LocaleCostModel" displayName="LocaleCostModel" ref="A1:K63" headerRowCount="1">
  <x:tableColumns count="11">
    <x:tableColumn id="1" name="Locale"/>
    <x:tableColumn id="2" name="Language"/>
    <x:tableColumn id="3" name="Market"/>
    <x:tableColumn id="4" name="Wave"/>
    <x:tableColumn id="5" name="Complexity flag"/>
    <x:tableColumn id="6" name="Estimated words"/>
    <x:tableColumn id="7" name="Base LQA hours"/>
    <x:tableColumn id="8" name="Multiplier"/>
    <x:tableColumn id="9" name="PM hours"/>
    <x:tableColumn id="10" name="Estimated subtotal (EUR)"/>
    <x:tableColumn id="11" name="Reviewer suggestion"/>
  </x:tableColumns>
  <x:tableStyleInfo name="TableStyleMedium2" showRowStripes="1"/>
</x:table>
</file>

<file path=xl/tables/table2.xml><?xml version="1.0" encoding="utf-8"?>
<x:table xmlns:x="http://schemas.openxmlformats.org/spreadsheetml/2006/main" id="2" name="ScenarioSummary" displayName="ScenarioSummary" ref="A1:E5" headerRowCount="1">
  <x:tableColumns count="5">
    <x:tableColumn id="1" name="Scenario"/>
    <x:tableColumn id="2" name="Description"/>
    <x:tableColumn id="3" name="Average multiplier"/>
    <x:tableColumn id="4" name="Estimated total EUR"/>
    <x:tableColumn id="5" name="Decision 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1851067afd48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8e005e7db24b8f" /></Relationships>
</file>

<file path=xl/worksheets/sheet1.xml><?xml version="1.0" encoding="utf-8"?>
<x:worksheet xmlns:x="http://schemas.openxmlformats.org/spreadsheetml/2006/main">
  <x:sheetFormatPr defaultRowHeight="15"/>
  <x:cols>
    <x:col min="1" max="1" width="27.59000015258789" hidden="0" customWidth="1"/>
    <x:col min="2" max="2" width="60.29999923706055" hidden="0" customWidth="1"/>
    <x:col min="3" max="3" width="39.29999923706055" hidden="0" customWidth="1"/>
  </x:cols>
  <x:sheetData>
    <x:row r="1">
      <x:c r="A1" s="6" t="str">
        <x:v>Assumption</x:v>
      </x:c>
      <x:c r="B1" s="6" t="str">
        <x:v>Value</x:v>
      </x:c>
      <x:c r="C1" s="6" t="str">
        <x:v>Unit / note</x:v>
      </x:c>
    </x:row>
    <x:row r="2">
      <x:c r="A2" t="str">
        <x:v>Screens to review per locale</x:v>
      </x:c>
      <x:c r="B2" s="12" t="n">
        <x:v>18</x:v>
      </x:c>
      <x:c r="C2" t="str">
        <x:v>Editable</x:v>
      </x:c>
    </x:row>
    <x:row r="3">
      <x:c r="A3" t="str">
        <x:v>Average strings per screen</x:v>
      </x:c>
      <x:c r="B3" s="12" t="n">
        <x:v>22</x:v>
      </x:c>
      <x:c r="C3" t="str">
        <x:v>Editable</x:v>
      </x:c>
    </x:row>
    <x:row r="4">
      <x:c r="A4" t="str">
        <x:v>Words per string</x:v>
      </x:c>
      <x:c r="B4" s="12" t="n">
        <x:v>6</x:v>
      </x:c>
      <x:c r="C4" t="str">
        <x:v>Editable</x:v>
      </x:c>
    </x:row>
    <x:row r="5">
      <x:c r="A5" t="str">
        <x:v>Native reviewer LQA rate</x:v>
      </x:c>
      <x:c r="B5" s="12" t="n">
        <x:v>28</x:v>
      </x:c>
      <x:c r="C5" t="str">
        <x:v>EUR/hour assumption</x:v>
      </x:c>
    </x:row>
    <x:row r="6">
      <x:c r="A6" t="str">
        <x:v>Senior reviewer / specialist rate</x:v>
      </x:c>
      <x:c r="B6" s="12" t="n">
        <x:v>45</x:v>
      </x:c>
      <x:c r="C6" t="str">
        <x:v>EUR/hour assumption</x:v>
      </x:c>
    </x:row>
    <x:row r="7">
      <x:c r="A7" t="str">
        <x:v>PM / localization coordination rate</x:v>
      </x:c>
      <x:c r="B7" s="12" t="n">
        <x:v>32</x:v>
      </x:c>
      <x:c r="C7" t="str">
        <x:v>EUR/hour assumption</x:v>
      </x:c>
    </x:row>
    <x:row r="8">
      <x:c r="A8" t="str">
        <x:v>Glossary + style setup hours</x:v>
      </x:c>
      <x:c r="B8" s="12" t="n">
        <x:v>2.5</x:v>
      </x:c>
      <x:c r="C8" t="str">
        <x:v>Per locale if first wave</x:v>
      </x:c>
    </x:row>
    <x:row r="9">
      <x:c r="A9" t="str">
        <x:v>Screenshot review hours</x:v>
      </x:c>
      <x:c r="B9" s="12" t="n">
        <x:v>3</x:v>
      </x:c>
      <x:c r="C9" t="str">
        <x:v>Per locale baseline</x:v>
      </x:c>
    </x:row>
    <x:row r="10">
      <x:c r="A10" t="str">
        <x:v>Functional QA hours</x:v>
      </x:c>
      <x:c r="B10" s="12" t="n">
        <x:v>1.5</x:v>
      </x:c>
      <x:c r="C10" t="str">
        <x:v>Per locale baseline</x:v>
      </x:c>
    </x:row>
    <x:row r="11">
      <x:c r="A11" t="str">
        <x:v>RTL multiplier</x:v>
      </x:c>
      <x:c r="B11" s="12" t="n">
        <x:v>1.35</x:v>
      </x:c>
      <x:c r="C11" t="str">
        <x:v>Arabic, Persian, Urdu, Punjabi Shahmukhi, Pashto</x:v>
      </x:c>
    </x:row>
    <x:row r="12">
      <x:c r="A12" t="str">
        <x:v>CJK multiplier</x:v>
      </x:c>
      <x:c r="B12" s="12" t="n">
        <x:v>1.2</x:v>
      </x:c>
      <x:c r="C12" t="str">
        <x:v>Japanese, Chinese, Korean and Chinese variants</x:v>
      </x:c>
    </x:row>
    <x:row r="13">
      <x:c r="A13" t="str">
        <x:v>Long-tail locale discount</x:v>
      </x:c>
      <x:c r="B13" s="12" t="n">
        <x:v>0.85</x:v>
      </x:c>
      <x:c r="C13" t="str">
        <x:v>Use for Wave 4 lean review</x:v>
      </x:c>
    </x:row>
    <x:row r="14">
      <x:c r="A14" t="str">
        <x:v>Comment</x:v>
      </x:c>
      <x:c r="B14" t="str">
        <x:v>Working assumptions only — replace with your vendor or freelance quotes.</x:v>
      </x:c>
      <x:c r="C14" t="str">
        <x:v>Not a market quote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899999618530273" hidden="0" customWidth="1"/>
    <x:col min="2" max="2" width="20" hidden="0" customWidth="1"/>
    <x:col min="3" max="3" width="18" hidden="0" customWidth="1"/>
    <x:col min="4" max="4" width="7.130000114440918" hidden="0" customWidth="1"/>
    <x:col min="5" max="5" width="15.34000015258789" hidden="0" customWidth="1"/>
    <x:col min="6" max="6" width="16.290000915527344" hidden="0" customWidth="1"/>
    <x:col min="7" max="7" width="15.34000015258789" hidden="0" customWidth="1"/>
    <x:col min="8" max="8" width="10.770000457763672" hidden="0" customWidth="1"/>
    <x:col min="9" max="9" width="10.5" hidden="0" customWidth="1"/>
    <x:col min="10" max="10" width="23.010000228881836" hidden="0" customWidth="1"/>
    <x:col min="11" max="11" width="32" hidden="0" customWidth="1"/>
  </x:cols>
  <x:sheetData>
    <x:row r="1">
      <x:c r="A1" s="18" t="str">
        <x:v>Locale</x:v>
      </x:c>
      <x:c r="B1" s="18" t="str">
        <x:v>Language</x:v>
      </x:c>
      <x:c r="C1" s="18" t="str">
        <x:v>Market</x:v>
      </x:c>
      <x:c r="D1" s="18" t="str">
        <x:v>Wave</x:v>
      </x:c>
      <x:c r="E1" s="18" t="str">
        <x:v>Complexity flag</x:v>
      </x:c>
      <x:c r="F1" s="18" t="str">
        <x:v>Estimated words</x:v>
      </x:c>
      <x:c r="G1" s="18" t="str">
        <x:v>Base LQA hours</x:v>
      </x:c>
      <x:c r="H1" s="18" t="str">
        <x:v>Multiplier</x:v>
      </x:c>
      <x:c r="I1" s="18" t="str">
        <x:v>PM hours</x:v>
      </x:c>
      <x:c r="J1" s="18" t="str">
        <x:v>Estimated subtotal (EUR)</x:v>
      </x:c>
      <x:c r="K1" s="18" t="str">
        <x:v>Reviewer suggestion</x:v>
      </x:c>
    </x:row>
    <x:row r="2">
      <x:c r="A2" t="str">
        <x:v>pl-PL</x:v>
      </x:c>
      <x:c r="B2" t="str">
        <x:v>Polish</x:v>
      </x:c>
      <x:c r="C2" t="str">
        <x:v>Poland</x:v>
      </x:c>
      <x:c r="D2" t="str">
        <x:v>Wave 1</x:v>
      </x:c>
      <x:c r="E2" t="str">
        <x:v>standard</x:v>
      </x:c>
      <x:c r="F2" s="12" t="n">
        <x:f>Assumptions!$B$2*Assumptions!$B$3*Assumptions!$B$4</x:f>
        <x:v>2376</x:v>
      </x:c>
      <x:c r="G2" s="12" t="n">
        <x:f>Assumptions!$B$8+Assumptions!$B$9+Assumptions!$B$10</x:f>
        <x:v>7</x:v>
      </x:c>
      <x:c r="H2" s="12" t="n">
        <x:f>IF(E2="RTL",Assumptions!$B$11,IF(E2="CJK",Assumptions!$B$12,IF(D2="Wave 4",Assumptions!$B$13,1)))</x:f>
        <x:v>1</x:v>
      </x:c>
      <x:c r="I2" s="12" t="n">
        <x:f>IF(D2="Wave 1",1.5,IF(D2="Wave 2",1.2,1.0))</x:f>
        <x:v>1.5</x:v>
      </x:c>
      <x:c r="J2" s="12" t="n">
        <x:f>(G2*Assumptions!$B$5 + I2*Assumptions!$B$7) * H2</x:f>
        <x:v>244</x:v>
      </x:c>
      <x:c r="K2" t="str">
        <x:f>IF(D2="Wave 1","native reviewer + screenshot QA",IF(E2="RTL","senior reviewer or specialist",IF(E2="CJK","native reviewer with UI screenshot review","native reviewer")))</x:f>
        <x:v>native reviewer + screenshot QA</x:v>
      </x:c>
    </x:row>
    <x:row r="3">
      <x:c r="A3" t="str">
        <x:v>en-US</x:v>
      </x:c>
      <x:c r="B3" t="str">
        <x:v>English</x:v>
      </x:c>
      <x:c r="C3" t="str">
        <x:v>United States</x:v>
      </x:c>
      <x:c r="D3" t="str">
        <x:v>Wave 1</x:v>
      </x:c>
      <x:c r="E3" t="str">
        <x:v>standard</x:v>
      </x:c>
      <x:c r="F3" s="12" t="n">
        <x:f>Assumptions!$B$2*Assumptions!$B$3*Assumptions!$B$4</x:f>
        <x:v>2376</x:v>
      </x:c>
      <x:c r="G3" s="12" t="n">
        <x:f>Assumptions!$B$8+Assumptions!$B$9+Assumptions!$B$10</x:f>
        <x:v>7</x:v>
      </x:c>
      <x:c r="H3" s="12" t="n">
        <x:f>IF(E3="RTL",Assumptions!$B$11,IF(E3="CJK",Assumptions!$B$12,IF(D3="Wave 4",Assumptions!$B$13,1)))</x:f>
        <x:v>1</x:v>
      </x:c>
      <x:c r="I3" s="12" t="n">
        <x:f>IF(D3="Wave 1",1.5,IF(D3="Wave 2",1.2,1.0))</x:f>
        <x:v>1.5</x:v>
      </x:c>
      <x:c r="J3" s="12" t="n">
        <x:f>(G3*Assumptions!$B$5 + I3*Assumptions!$B$7) * H3</x:f>
        <x:v>244</x:v>
      </x:c>
      <x:c r="K3" t="str">
        <x:f>IF(D3="Wave 1","native reviewer + screenshot QA",IF(E3="RTL","senior reviewer or specialist",IF(E3="CJK","native reviewer with UI screenshot review","native reviewer")))</x:f>
        <x:v>native reviewer + screenshot QA</x:v>
      </x:c>
    </x:row>
    <x:row r="4">
      <x:c r="A4" t="str">
        <x:v>en-GB</x:v>
      </x:c>
      <x:c r="B4" t="str">
        <x:v>English</x:v>
      </x:c>
      <x:c r="C4" t="str">
        <x:v>United Kingdom</x:v>
      </x:c>
      <x:c r="D4" t="str">
        <x:v>Wave 1</x:v>
      </x:c>
      <x:c r="E4" t="str">
        <x:v>standard</x:v>
      </x:c>
      <x:c r="F4" s="12" t="n">
        <x:f>Assumptions!$B$2*Assumptions!$B$3*Assumptions!$B$4</x:f>
        <x:v>2376</x:v>
      </x:c>
      <x:c r="G4" s="12" t="n">
        <x:f>Assumptions!$B$8+Assumptions!$B$9+Assumptions!$B$10</x:f>
        <x:v>7</x:v>
      </x:c>
      <x:c r="H4" s="12" t="n">
        <x:f>IF(E4="RTL",Assumptions!$B$11,IF(E4="CJK",Assumptions!$B$12,IF(D4="Wave 4",Assumptions!$B$13,1)))</x:f>
        <x:v>1</x:v>
      </x:c>
      <x:c r="I4" s="12" t="n">
        <x:f>IF(D4="Wave 1",1.5,IF(D4="Wave 2",1.2,1.0))</x:f>
        <x:v>1.5</x:v>
      </x:c>
      <x:c r="J4" s="12" t="n">
        <x:f>(G4*Assumptions!$B$5 + I4*Assumptions!$B$7) * H4</x:f>
        <x:v>244</x:v>
      </x:c>
      <x:c r="K4" t="str">
        <x:f>IF(D4="Wave 1","native reviewer + screenshot QA",IF(E4="RTL","senior reviewer or specialist",IF(E4="CJK","native reviewer with UI screenshot review","native reviewer")))</x:f>
        <x:v>native reviewer + screenshot QA</x:v>
      </x:c>
    </x:row>
    <x:row r="5">
      <x:c r="A5" t="str">
        <x:v>es-ES</x:v>
      </x:c>
      <x:c r="B5" t="str">
        <x:v>Spanish</x:v>
      </x:c>
      <x:c r="C5" t="str">
        <x:v>Spain</x:v>
      </x:c>
      <x:c r="D5" t="str">
        <x:v>Wave 1</x:v>
      </x:c>
      <x:c r="E5" t="str">
        <x:v>standard</x:v>
      </x:c>
      <x:c r="F5" s="12" t="n">
        <x:f>Assumptions!$B$2*Assumptions!$B$3*Assumptions!$B$4</x:f>
        <x:v>2376</x:v>
      </x:c>
      <x:c r="G5" s="12" t="n">
        <x:f>Assumptions!$B$8+Assumptions!$B$9+Assumptions!$B$10</x:f>
        <x:v>7</x:v>
      </x:c>
      <x:c r="H5" s="12" t="n">
        <x:f>IF(E5="RTL",Assumptions!$B$11,IF(E5="CJK",Assumptions!$B$12,IF(D5="Wave 4",Assumptions!$B$13,1)))</x:f>
        <x:v>1</x:v>
      </x:c>
      <x:c r="I5" s="12" t="n">
        <x:f>IF(D5="Wave 1",1.5,IF(D5="Wave 2",1.2,1.0))</x:f>
        <x:v>1.5</x:v>
      </x:c>
      <x:c r="J5" s="12" t="n">
        <x:f>(G5*Assumptions!$B$5 + I5*Assumptions!$B$7) * H5</x:f>
        <x:v>244</x:v>
      </x:c>
      <x:c r="K5" t="str">
        <x:f>IF(D5="Wave 1","native reviewer + screenshot QA",IF(E5="RTL","senior reviewer or specialist",IF(E5="CJK","native reviewer with UI screenshot review","native reviewer")))</x:f>
        <x:v>native reviewer + screenshot QA</x:v>
      </x:c>
    </x:row>
    <x:row r="6">
      <x:c r="A6" t="str">
        <x:v>es-419</x:v>
      </x:c>
      <x:c r="B6" t="str">
        <x:v>Spanish</x:v>
      </x:c>
      <x:c r="C6" t="str">
        <x:v>Latin America</x:v>
      </x:c>
      <x:c r="D6" t="str">
        <x:v>Wave 1</x:v>
      </x:c>
      <x:c r="E6" t="str">
        <x:v>standard</x:v>
      </x:c>
      <x:c r="F6" s="12" t="n">
        <x:f>Assumptions!$B$2*Assumptions!$B$3*Assumptions!$B$4</x:f>
        <x:v>2376</x:v>
      </x:c>
      <x:c r="G6" s="12" t="n">
        <x:f>Assumptions!$B$8+Assumptions!$B$9+Assumptions!$B$10</x:f>
        <x:v>7</x:v>
      </x:c>
      <x:c r="H6" s="12" t="n">
        <x:f>IF(E6="RTL",Assumptions!$B$11,IF(E6="CJK",Assumptions!$B$12,IF(D6="Wave 4",Assumptions!$B$13,1)))</x:f>
        <x:v>1</x:v>
      </x:c>
      <x:c r="I6" s="12" t="n">
        <x:f>IF(D6="Wave 1",1.5,IF(D6="Wave 2",1.2,1.0))</x:f>
        <x:v>1.5</x:v>
      </x:c>
      <x:c r="J6" s="12" t="n">
        <x:f>(G6*Assumptions!$B$5 + I6*Assumptions!$B$7) * H6</x:f>
        <x:v>244</x:v>
      </x:c>
      <x:c r="K6" t="str">
        <x:f>IF(D6="Wave 1","native reviewer + screenshot QA",IF(E6="RTL","senior reviewer or specialist",IF(E6="CJK","native reviewer with UI screenshot review","native reviewer")))</x:f>
        <x:v>native reviewer + screenshot QA</x:v>
      </x:c>
    </x:row>
    <x:row r="7">
      <x:c r="A7" t="str">
        <x:v>it-IT</x:v>
      </x:c>
      <x:c r="B7" t="str">
        <x:v>Italian</x:v>
      </x:c>
      <x:c r="C7" t="str">
        <x:v>Italy</x:v>
      </x:c>
      <x:c r="D7" t="str">
        <x:v>Wave 1</x:v>
      </x:c>
      <x:c r="E7" t="str">
        <x:v>standard</x:v>
      </x:c>
      <x:c r="F7" s="12" t="n">
        <x:f>Assumptions!$B$2*Assumptions!$B$3*Assumptions!$B$4</x:f>
        <x:v>2376</x:v>
      </x:c>
      <x:c r="G7" s="12" t="n">
        <x:f>Assumptions!$B$8+Assumptions!$B$9+Assumptions!$B$10</x:f>
        <x:v>7</x:v>
      </x:c>
      <x:c r="H7" s="12" t="n">
        <x:f>IF(E7="RTL",Assumptions!$B$11,IF(E7="CJK",Assumptions!$B$12,IF(D7="Wave 4",Assumptions!$B$13,1)))</x:f>
        <x:v>1</x:v>
      </x:c>
      <x:c r="I7" s="12" t="n">
        <x:f>IF(D7="Wave 1",1.5,IF(D7="Wave 2",1.2,1.0))</x:f>
        <x:v>1.5</x:v>
      </x:c>
      <x:c r="J7" s="12" t="n">
        <x:f>(G7*Assumptions!$B$5 + I7*Assumptions!$B$7) * H7</x:f>
        <x:v>244</x:v>
      </x:c>
      <x:c r="K7" t="str">
        <x:f>IF(D7="Wave 1","native reviewer + screenshot QA",IF(E7="RTL","senior reviewer or specialist",IF(E7="CJK","native reviewer with UI screenshot review","native reviewer")))</x:f>
        <x:v>native reviewer + screenshot QA</x:v>
      </x:c>
    </x:row>
    <x:row r="8">
      <x:c r="A8" t="str">
        <x:v>fr-FR</x:v>
      </x:c>
      <x:c r="B8" t="str">
        <x:v>French</x:v>
      </x:c>
      <x:c r="C8" t="str">
        <x:v>France</x:v>
      </x:c>
      <x:c r="D8" t="str">
        <x:v>Wave 1</x:v>
      </x:c>
      <x:c r="E8" t="str">
        <x:v>standard</x:v>
      </x:c>
      <x:c r="F8" s="12" t="n">
        <x:f>Assumptions!$B$2*Assumptions!$B$3*Assumptions!$B$4</x:f>
        <x:v>2376</x:v>
      </x:c>
      <x:c r="G8" s="12" t="n">
        <x:f>Assumptions!$B$8+Assumptions!$B$9+Assumptions!$B$10</x:f>
        <x:v>7</x:v>
      </x:c>
      <x:c r="H8" s="12" t="n">
        <x:f>IF(E8="RTL",Assumptions!$B$11,IF(E8="CJK",Assumptions!$B$12,IF(D8="Wave 4",Assumptions!$B$13,1)))</x:f>
        <x:v>1</x:v>
      </x:c>
      <x:c r="I8" s="12" t="n">
        <x:f>IF(D8="Wave 1",1.5,IF(D8="Wave 2",1.2,1.0))</x:f>
        <x:v>1.5</x:v>
      </x:c>
      <x:c r="J8" s="12" t="n">
        <x:f>(G8*Assumptions!$B$5 + I8*Assumptions!$B$7) * H8</x:f>
        <x:v>244</x:v>
      </x:c>
      <x:c r="K8" t="str">
        <x:f>IF(D8="Wave 1","native reviewer + screenshot QA",IF(E8="RTL","senior reviewer or specialist",IF(E8="CJK","native reviewer with UI screenshot review","native reviewer")))</x:f>
        <x:v>native reviewer + screenshot QA</x:v>
      </x:c>
    </x:row>
    <x:row r="9">
      <x:c r="A9" t="str">
        <x:v>fr-CA</x:v>
      </x:c>
      <x:c r="B9" t="str">
        <x:v>French</x:v>
      </x:c>
      <x:c r="C9" t="str">
        <x:v>Canada</x:v>
      </x:c>
      <x:c r="D9" t="str">
        <x:v>Wave 2</x:v>
      </x:c>
      <x:c r="E9" t="str">
        <x:v>standard</x:v>
      </x:c>
      <x:c r="F9" s="12" t="n">
        <x:f>Assumptions!$B$2*Assumptions!$B$3*Assumptions!$B$4</x:f>
        <x:v>2376</x:v>
      </x:c>
      <x:c r="G9" s="12" t="n">
        <x:f>Assumptions!$B$8+Assumptions!$B$9+Assumptions!$B$10</x:f>
        <x:v>7</x:v>
      </x:c>
      <x:c r="H9" s="12" t="n">
        <x:f>IF(E9="RTL",Assumptions!$B$11,IF(E9="CJK",Assumptions!$B$12,IF(D9="Wave 4",Assumptions!$B$13,1)))</x:f>
        <x:v>1</x:v>
      </x:c>
      <x:c r="I9" s="12" t="n">
        <x:f>IF(D9="Wave 1",1.5,IF(D9="Wave 2",1.2,1.0))</x:f>
        <x:v>1.2</x:v>
      </x:c>
      <x:c r="J9" s="12" t="n">
        <x:f>(G9*Assumptions!$B$5 + I9*Assumptions!$B$7) * H9</x:f>
        <x:v>234.4</x:v>
      </x:c>
      <x:c r="K9" t="str">
        <x:f>IF(D9="Wave 1","native reviewer + screenshot QA",IF(E9="RTL","senior reviewer or specialist",IF(E9="CJK","native reviewer with UI screenshot review","native reviewer")))</x:f>
        <x:v>native reviewer</x:v>
      </x:c>
    </x:row>
    <x:row r="10">
      <x:c r="A10" t="str">
        <x:v>de-DE</x:v>
      </x:c>
      <x:c r="B10" t="str">
        <x:v>German</x:v>
      </x:c>
      <x:c r="C10" t="str">
        <x:v>Germany</x:v>
      </x:c>
      <x:c r="D10" t="str">
        <x:v>Wave 1</x:v>
      </x:c>
      <x:c r="E10" t="str">
        <x:v>standard</x:v>
      </x:c>
      <x:c r="F10" s="12" t="n">
        <x:f>Assumptions!$B$2*Assumptions!$B$3*Assumptions!$B$4</x:f>
        <x:v>2376</x:v>
      </x:c>
      <x:c r="G10" s="12" t="n">
        <x:f>Assumptions!$B$8+Assumptions!$B$9+Assumptions!$B$10</x:f>
        <x:v>7</x:v>
      </x:c>
      <x:c r="H10" s="12" t="n">
        <x:f>IF(E10="RTL",Assumptions!$B$11,IF(E10="CJK",Assumptions!$B$12,IF(D10="Wave 4",Assumptions!$B$13,1)))</x:f>
        <x:v>1</x:v>
      </x:c>
      <x:c r="I10" s="12" t="n">
        <x:f>IF(D10="Wave 1",1.5,IF(D10="Wave 2",1.2,1.0))</x:f>
        <x:v>1.5</x:v>
      </x:c>
      <x:c r="J10" s="12" t="n">
        <x:f>(G10*Assumptions!$B$5 + I10*Assumptions!$B$7) * H10</x:f>
        <x:v>244</x:v>
      </x:c>
      <x:c r="K10" t="str">
        <x:f>IF(D10="Wave 1","native reviewer + screenshot QA",IF(E10="RTL","senior reviewer or specialist",IF(E10="CJK","native reviewer with UI screenshot review","native reviewer")))</x:f>
        <x:v>native reviewer + screenshot QA</x:v>
      </x:c>
    </x:row>
    <x:row r="11">
      <x:c r="A11" t="str">
        <x:v>de-AT</x:v>
      </x:c>
      <x:c r="B11" t="str">
        <x:v>German</x:v>
      </x:c>
      <x:c r="C11" t="str">
        <x:v>Austria</x:v>
      </x:c>
      <x:c r="D11" t="str">
        <x:v>Wave 2</x:v>
      </x:c>
      <x:c r="E11" t="str">
        <x:v>standard</x:v>
      </x:c>
      <x:c r="F11" s="12" t="n">
        <x:f>Assumptions!$B$2*Assumptions!$B$3*Assumptions!$B$4</x:f>
        <x:v>2376</x:v>
      </x:c>
      <x:c r="G11" s="12" t="n">
        <x:f>Assumptions!$B$8+Assumptions!$B$9+Assumptions!$B$10</x:f>
        <x:v>7</x:v>
      </x:c>
      <x:c r="H11" s="12" t="n">
        <x:f>IF(E11="RTL",Assumptions!$B$11,IF(E11="CJK",Assumptions!$B$12,IF(D11="Wave 4",Assumptions!$B$13,1)))</x:f>
        <x:v>1</x:v>
      </x:c>
      <x:c r="I11" s="12" t="n">
        <x:f>IF(D11="Wave 1",1.5,IF(D11="Wave 2",1.2,1.0))</x:f>
        <x:v>1.2</x:v>
      </x:c>
      <x:c r="J11" s="12" t="n">
        <x:f>(G11*Assumptions!$B$5 + I11*Assumptions!$B$7) * H11</x:f>
        <x:v>234.4</x:v>
      </x:c>
      <x:c r="K11" t="str">
        <x:f>IF(D11="Wave 1","native reviewer + screenshot QA",IF(E11="RTL","senior reviewer or specialist",IF(E11="CJK","native reviewer with UI screenshot review","native reviewer")))</x:f>
        <x:v>native reviewer</x:v>
      </x:c>
    </x:row>
    <x:row r="12">
      <x:c r="A12" t="str">
        <x:v>de-CH</x:v>
      </x:c>
      <x:c r="B12" t="str">
        <x:v>German</x:v>
      </x:c>
      <x:c r="C12" t="str">
        <x:v>Switzerland</x:v>
      </x:c>
      <x:c r="D12" t="str">
        <x:v>Wave 2</x:v>
      </x:c>
      <x:c r="E12" t="str">
        <x:v>standard</x:v>
      </x:c>
      <x:c r="F12" s="12" t="n">
        <x:f>Assumptions!$B$2*Assumptions!$B$3*Assumptions!$B$4</x:f>
        <x:v>2376</x:v>
      </x:c>
      <x:c r="G12" s="12" t="n">
        <x:f>Assumptions!$B$8+Assumptions!$B$9+Assumptions!$B$10</x:f>
        <x:v>7</x:v>
      </x:c>
      <x:c r="H12" s="12" t="n">
        <x:f>IF(E12="RTL",Assumptions!$B$11,IF(E12="CJK",Assumptions!$B$12,IF(D12="Wave 4",Assumptions!$B$13,1)))</x:f>
        <x:v>1</x:v>
      </x:c>
      <x:c r="I12" s="12" t="n">
        <x:f>IF(D12="Wave 1",1.5,IF(D12="Wave 2",1.2,1.0))</x:f>
        <x:v>1.2</x:v>
      </x:c>
      <x:c r="J12" s="12" t="n">
        <x:f>(G12*Assumptions!$B$5 + I12*Assumptions!$B$7) * H12</x:f>
        <x:v>234.4</x:v>
      </x:c>
      <x:c r="K12" t="str">
        <x:f>IF(D12="Wave 1","native reviewer + screenshot QA",IF(E12="RTL","senior reviewer or specialist",IF(E12="CJK","native reviewer with UI screenshot review","native reviewer")))</x:f>
        <x:v>native reviewer</x:v>
      </x:c>
    </x:row>
    <x:row r="13">
      <x:c r="A13" t="str">
        <x:v>ar-SA</x:v>
      </x:c>
      <x:c r="B13" t="str">
        <x:v>Arabic</x:v>
      </x:c>
      <x:c r="C13" t="str">
        <x:v>Saudi Arabia</x:v>
      </x:c>
      <x:c r="D13" t="str">
        <x:v>Wave 1</x:v>
      </x:c>
      <x:c r="E13" t="str">
        <x:v>RTL</x:v>
      </x:c>
      <x:c r="F13" s="12" t="n">
        <x:f>Assumptions!$B$2*Assumptions!$B$3*Assumptions!$B$4</x:f>
        <x:v>2376</x:v>
      </x:c>
      <x:c r="G13" s="12" t="n">
        <x:f>Assumptions!$B$8+Assumptions!$B$9+Assumptions!$B$10</x:f>
        <x:v>7</x:v>
      </x:c>
      <x:c r="H13" s="12" t="n">
        <x:f>IF(E13="RTL",Assumptions!$B$11,IF(E13="CJK",Assumptions!$B$12,IF(D13="Wave 4",Assumptions!$B$13,1)))</x:f>
        <x:v>1.35</x:v>
      </x:c>
      <x:c r="I13" s="12" t="n">
        <x:f>IF(D13="Wave 1",1.5,IF(D13="Wave 2",1.2,1.0))</x:f>
        <x:v>1.5</x:v>
      </x:c>
      <x:c r="J13" s="12" t="n">
        <x:f>(G13*Assumptions!$B$5 + I13*Assumptions!$B$7) * H13</x:f>
        <x:v>329.40000000000003</x:v>
      </x:c>
      <x:c r="K13" t="str">
        <x:f>IF(D13="Wave 1","native reviewer + screenshot QA",IF(E13="RTL","senior reviewer or specialist",IF(E13="CJK","native reviewer with UI screenshot review","native reviewer")))</x:f>
        <x:v>native reviewer + screenshot QA</x:v>
      </x:c>
    </x:row>
    <x:row r="14">
      <x:c r="A14" t="str">
        <x:v>ja-JP</x:v>
      </x:c>
      <x:c r="B14" t="str">
        <x:v>Japanese</x:v>
      </x:c>
      <x:c r="C14" t="str">
        <x:v>Japan</x:v>
      </x:c>
      <x:c r="D14" t="str">
        <x:v>Wave 1</x:v>
      </x:c>
      <x:c r="E14" t="str">
        <x:v>CJK</x:v>
      </x:c>
      <x:c r="F14" s="12" t="n">
        <x:f>Assumptions!$B$2*Assumptions!$B$3*Assumptions!$B$4</x:f>
        <x:v>2376</x:v>
      </x:c>
      <x:c r="G14" s="12" t="n">
        <x:f>Assumptions!$B$8+Assumptions!$B$9+Assumptions!$B$10</x:f>
        <x:v>7</x:v>
      </x:c>
      <x:c r="H14" s="12" t="n">
        <x:f>IF(E14="RTL",Assumptions!$B$11,IF(E14="CJK",Assumptions!$B$12,IF(D14="Wave 4",Assumptions!$B$13,1)))</x:f>
        <x:v>1.2</x:v>
      </x:c>
      <x:c r="I14" s="12" t="n">
        <x:f>IF(D14="Wave 1",1.5,IF(D14="Wave 2",1.2,1.0))</x:f>
        <x:v>1.5</x:v>
      </x:c>
      <x:c r="J14" s="12" t="n">
        <x:f>(G14*Assumptions!$B$5 + I14*Assumptions!$B$7) * H14</x:f>
        <x:v>292.8</x:v>
      </x:c>
      <x:c r="K14" t="str">
        <x:f>IF(D14="Wave 1","native reviewer + screenshot QA",IF(E14="RTL","senior reviewer or specialist",IF(E14="CJK","native reviewer with UI screenshot review","native reviewer")))</x:f>
        <x:v>native reviewer + screenshot QA</x:v>
      </x:c>
    </x:row>
    <x:row r="15">
      <x:c r="A15" t="str">
        <x:v>zh-Hans-CN</x:v>
      </x:c>
      <x:c r="B15" t="str">
        <x:v>Chinese Simplified</x:v>
      </x:c>
      <x:c r="C15" t="str">
        <x:v>China</x:v>
      </x:c>
      <x:c r="D15" t="str">
        <x:v>Wave 1</x:v>
      </x:c>
      <x:c r="E15" t="str">
        <x:v>CJK</x:v>
      </x:c>
      <x:c r="F15" s="12" t="n">
        <x:f>Assumptions!$B$2*Assumptions!$B$3*Assumptions!$B$4</x:f>
        <x:v>2376</x:v>
      </x:c>
      <x:c r="G15" s="12" t="n">
        <x:f>Assumptions!$B$8+Assumptions!$B$9+Assumptions!$B$10</x:f>
        <x:v>7</x:v>
      </x:c>
      <x:c r="H15" s="12" t="n">
        <x:f>IF(E15="RTL",Assumptions!$B$11,IF(E15="CJK",Assumptions!$B$12,IF(D15="Wave 4",Assumptions!$B$13,1)))</x:f>
        <x:v>1.2</x:v>
      </x:c>
      <x:c r="I15" s="12" t="n">
        <x:f>IF(D15="Wave 1",1.5,IF(D15="Wave 2",1.2,1.0))</x:f>
        <x:v>1.5</x:v>
      </x:c>
      <x:c r="J15" s="12" t="n">
        <x:f>(G15*Assumptions!$B$5 + I15*Assumptions!$B$7) * H15</x:f>
        <x:v>292.8</x:v>
      </x:c>
      <x:c r="K15" t="str">
        <x:f>IF(D15="Wave 1","native reviewer + screenshot QA",IF(E15="RTL","senior reviewer or specialist",IF(E15="CJK","native reviewer with UI screenshot review","native reviewer")))</x:f>
        <x:v>native reviewer + screenshot QA</x:v>
      </x:c>
    </x:row>
    <x:row r="16">
      <x:c r="A16" t="str">
        <x:v>zh-Hant-TW</x:v>
      </x:c>
      <x:c r="B16" t="str">
        <x:v>Chinese Traditional</x:v>
      </x:c>
      <x:c r="C16" t="str">
        <x:v>Taiwan</x:v>
      </x:c>
      <x:c r="D16" t="str">
        <x:v>Wave 2</x:v>
      </x:c>
      <x:c r="E16" t="str">
        <x:v>CJK</x:v>
      </x:c>
      <x:c r="F16" s="12" t="n">
        <x:f>Assumptions!$B$2*Assumptions!$B$3*Assumptions!$B$4</x:f>
        <x:v>2376</x:v>
      </x:c>
      <x:c r="G16" s="12" t="n">
        <x:f>Assumptions!$B$8+Assumptions!$B$9+Assumptions!$B$10</x:f>
        <x:v>7</x:v>
      </x:c>
      <x:c r="H16" s="12" t="n">
        <x:f>IF(E16="RTL",Assumptions!$B$11,IF(E16="CJK",Assumptions!$B$12,IF(D16="Wave 4",Assumptions!$B$13,1)))</x:f>
        <x:v>1.2</x:v>
      </x:c>
      <x:c r="I16" s="12" t="n">
        <x:f>IF(D16="Wave 1",1.5,IF(D16="Wave 2",1.2,1.0))</x:f>
        <x:v>1.2</x:v>
      </x:c>
      <x:c r="J16" s="12" t="n">
        <x:f>(G16*Assumptions!$B$5 + I16*Assumptions!$B$7) * H16</x:f>
        <x:v>281.28</x:v>
      </x:c>
      <x:c r="K16" t="str">
        <x:f>IF(D16="Wave 1","native reviewer + screenshot QA",IF(E16="RTL","senior reviewer or specialist",IF(E16="CJK","native reviewer with UI screenshot review","native reviewer")))</x:f>
        <x:v>native reviewer with UI screenshot review</x:v>
      </x:c>
    </x:row>
    <x:row r="17">
      <x:c r="A17" t="str">
        <x:v>nl-NL</x:v>
      </x:c>
      <x:c r="B17" t="str">
        <x:v>Dutch</x:v>
      </x:c>
      <x:c r="C17" t="str">
        <x:v>Netherlands</x:v>
      </x:c>
      <x:c r="D17" t="str">
        <x:v>Wave 2</x:v>
      </x:c>
      <x:c r="E17" t="str">
        <x:v>standard</x:v>
      </x:c>
      <x:c r="F17" s="12" t="n">
        <x:f>Assumptions!$B$2*Assumptions!$B$3*Assumptions!$B$4</x:f>
        <x:v>2376</x:v>
      </x:c>
      <x:c r="G17" s="12" t="n">
        <x:f>Assumptions!$B$8+Assumptions!$B$9+Assumptions!$B$10</x:f>
        <x:v>7</x:v>
      </x:c>
      <x:c r="H17" s="12" t="n">
        <x:f>IF(E17="RTL",Assumptions!$B$11,IF(E17="CJK",Assumptions!$B$12,IF(D17="Wave 4",Assumptions!$B$13,1)))</x:f>
        <x:v>1</x:v>
      </x:c>
      <x:c r="I17" s="12" t="n">
        <x:f>IF(D17="Wave 1",1.5,IF(D17="Wave 2",1.2,1.0))</x:f>
        <x:v>1.2</x:v>
      </x:c>
      <x:c r="J17" s="12" t="n">
        <x:f>(G17*Assumptions!$B$5 + I17*Assumptions!$B$7) * H17</x:f>
        <x:v>234.4</x:v>
      </x:c>
      <x:c r="K17" t="str">
        <x:f>IF(D17="Wave 1","native reviewer + screenshot QA",IF(E17="RTL","senior reviewer or specialist",IF(E17="CJK","native reviewer with UI screenshot review","native reviewer")))</x:f>
        <x:v>native reviewer</x:v>
      </x:c>
    </x:row>
    <x:row r="18">
      <x:c r="A18" t="str">
        <x:v>nl-BE</x:v>
      </x:c>
      <x:c r="B18" t="str">
        <x:v>Dutch</x:v>
      </x:c>
      <x:c r="C18" t="str">
        <x:v>Belgium</x:v>
      </x:c>
      <x:c r="D18" t="str">
        <x:v>Wave 3</x:v>
      </x:c>
      <x:c r="E18" t="str">
        <x:v>standard</x:v>
      </x:c>
      <x:c r="F18" s="12" t="n">
        <x:f>Assumptions!$B$2*Assumptions!$B$3*Assumptions!$B$4</x:f>
        <x:v>2376</x:v>
      </x:c>
      <x:c r="G18" s="12" t="n">
        <x:f>Assumptions!$B$8+Assumptions!$B$9+Assumptions!$B$10</x:f>
        <x:v>7</x:v>
      </x:c>
      <x:c r="H18" s="12" t="n">
        <x:f>IF(E18="RTL",Assumptions!$B$11,IF(E18="CJK",Assumptions!$B$12,IF(D18="Wave 4",Assumptions!$B$13,1)))</x:f>
        <x:v>1</x:v>
      </x:c>
      <x:c r="I18" s="12" t="n">
        <x:f>IF(D18="Wave 1",1.5,IF(D18="Wave 2",1.2,1.0))</x:f>
        <x:v>1</x:v>
      </x:c>
      <x:c r="J18" s="12" t="n">
        <x:f>(G18*Assumptions!$B$5 + I18*Assumptions!$B$7) * H18</x:f>
        <x:v>228</x:v>
      </x:c>
      <x:c r="K18" t="str">
        <x:f>IF(D18="Wave 1","native reviewer + screenshot QA",IF(E18="RTL","senior reviewer or specialist",IF(E18="CJK","native reviewer with UI screenshot review","native reviewer")))</x:f>
        <x:v>native reviewer</x:v>
      </x:c>
    </x:row>
    <x:row r="19">
      <x:c r="A19" t="str">
        <x:v>sv-SE</x:v>
      </x:c>
      <x:c r="B19" t="str">
        <x:v>Swedish</x:v>
      </x:c>
      <x:c r="C19" t="str">
        <x:v>Sweden</x:v>
      </x:c>
      <x:c r="D19" t="str">
        <x:v>Wave 2</x:v>
      </x:c>
      <x:c r="E19" t="str">
        <x:v>standard</x:v>
      </x:c>
      <x:c r="F19" s="12" t="n">
        <x:f>Assumptions!$B$2*Assumptions!$B$3*Assumptions!$B$4</x:f>
        <x:v>2376</x:v>
      </x:c>
      <x:c r="G19" s="12" t="n">
        <x:f>Assumptions!$B$8+Assumptions!$B$9+Assumptions!$B$10</x:f>
        <x:v>7</x:v>
      </x:c>
      <x:c r="H19" s="12" t="n">
        <x:f>IF(E19="RTL",Assumptions!$B$11,IF(E19="CJK",Assumptions!$B$12,IF(D19="Wave 4",Assumptions!$B$13,1)))</x:f>
        <x:v>1</x:v>
      </x:c>
      <x:c r="I19" s="12" t="n">
        <x:f>IF(D19="Wave 1",1.5,IF(D19="Wave 2",1.2,1.0))</x:f>
        <x:v>1.2</x:v>
      </x:c>
      <x:c r="J19" s="12" t="n">
        <x:f>(G19*Assumptions!$B$5 + I19*Assumptions!$B$7) * H19</x:f>
        <x:v>234.4</x:v>
      </x:c>
      <x:c r="K19" t="str">
        <x:f>IF(D19="Wave 1","native reviewer + screenshot QA",IF(E19="RTL","senior reviewer or specialist",IF(E19="CJK","native reviewer with UI screenshot review","native reviewer")))</x:f>
        <x:v>native reviewer</x:v>
      </x:c>
    </x:row>
    <x:row r="20">
      <x:c r="A20" t="str">
        <x:v>cs-CZ</x:v>
      </x:c>
      <x:c r="B20" t="str">
        <x:v>Czech</x:v>
      </x:c>
      <x:c r="C20" t="str">
        <x:v>Czechia</x:v>
      </x:c>
      <x:c r="D20" t="str">
        <x:v>Wave 2</x:v>
      </x:c>
      <x:c r="E20" t="str">
        <x:v>standard</x:v>
      </x:c>
      <x:c r="F20" s="12" t="n">
        <x:f>Assumptions!$B$2*Assumptions!$B$3*Assumptions!$B$4</x:f>
        <x:v>2376</x:v>
      </x:c>
      <x:c r="G20" s="12" t="n">
        <x:f>Assumptions!$B$8+Assumptions!$B$9+Assumptions!$B$10</x:f>
        <x:v>7</x:v>
      </x:c>
      <x:c r="H20" s="12" t="n">
        <x:f>IF(E20="RTL",Assumptions!$B$11,IF(E20="CJK",Assumptions!$B$12,IF(D20="Wave 4",Assumptions!$B$13,1)))</x:f>
        <x:v>1</x:v>
      </x:c>
      <x:c r="I20" s="12" t="n">
        <x:f>IF(D20="Wave 1",1.5,IF(D20="Wave 2",1.2,1.0))</x:f>
        <x:v>1.2</x:v>
      </x:c>
      <x:c r="J20" s="12" t="n">
        <x:f>(G20*Assumptions!$B$5 + I20*Assumptions!$B$7) * H20</x:f>
        <x:v>234.4</x:v>
      </x:c>
      <x:c r="K20" t="str">
        <x:f>IF(D20="Wave 1","native reviewer + screenshot QA",IF(E20="RTL","senior reviewer or specialist",IF(E20="CJK","native reviewer with UI screenshot review","native reviewer")))</x:f>
        <x:v>native reviewer</x:v>
      </x:c>
    </x:row>
    <x:row r="21">
      <x:c r="A21" t="str">
        <x:v>pt-BR</x:v>
      </x:c>
      <x:c r="B21" t="str">
        <x:v>Portuguese</x:v>
      </x:c>
      <x:c r="C21" t="str">
        <x:v>Brazil</x:v>
      </x:c>
      <x:c r="D21" t="str">
        <x:v>Wave 1</x:v>
      </x:c>
      <x:c r="E21" t="str">
        <x:v>standard</x:v>
      </x:c>
      <x:c r="F21" s="12" t="n">
        <x:f>Assumptions!$B$2*Assumptions!$B$3*Assumptions!$B$4</x:f>
        <x:v>2376</x:v>
      </x:c>
      <x:c r="G21" s="12" t="n">
        <x:f>Assumptions!$B$8+Assumptions!$B$9+Assumptions!$B$10</x:f>
        <x:v>7</x:v>
      </x:c>
      <x:c r="H21" s="12" t="n">
        <x:f>IF(E21="RTL",Assumptions!$B$11,IF(E21="CJK",Assumptions!$B$12,IF(D21="Wave 4",Assumptions!$B$13,1)))</x:f>
        <x:v>1</x:v>
      </x:c>
      <x:c r="I21" s="12" t="n">
        <x:f>IF(D21="Wave 1",1.5,IF(D21="Wave 2",1.2,1.0))</x:f>
        <x:v>1.5</x:v>
      </x:c>
      <x:c r="J21" s="12" t="n">
        <x:f>(G21*Assumptions!$B$5 + I21*Assumptions!$B$7) * H21</x:f>
        <x:v>244</x:v>
      </x:c>
      <x:c r="K21" t="str">
        <x:f>IF(D21="Wave 1","native reviewer + screenshot QA",IF(E21="RTL","senior reviewer or specialist",IF(E21="CJK","native reviewer with UI screenshot review","native reviewer")))</x:f>
        <x:v>native reviewer + screenshot QA</x:v>
      </x:c>
    </x:row>
    <x:row r="22">
      <x:c r="A22" t="str">
        <x:v>pt-PT</x:v>
      </x:c>
      <x:c r="B22" t="str">
        <x:v>Portuguese</x:v>
      </x:c>
      <x:c r="C22" t="str">
        <x:v>Portugal</x:v>
      </x:c>
      <x:c r="D22" t="str">
        <x:v>Wave 2</x:v>
      </x:c>
      <x:c r="E22" t="str">
        <x:v>standard</x:v>
      </x:c>
      <x:c r="F22" s="12" t="n">
        <x:f>Assumptions!$B$2*Assumptions!$B$3*Assumptions!$B$4</x:f>
        <x:v>2376</x:v>
      </x:c>
      <x:c r="G22" s="12" t="n">
        <x:f>Assumptions!$B$8+Assumptions!$B$9+Assumptions!$B$10</x:f>
        <x:v>7</x:v>
      </x:c>
      <x:c r="H22" s="12" t="n">
        <x:f>IF(E22="RTL",Assumptions!$B$11,IF(E22="CJK",Assumptions!$B$12,IF(D22="Wave 4",Assumptions!$B$13,1)))</x:f>
        <x:v>1</x:v>
      </x:c>
      <x:c r="I22" s="12" t="n">
        <x:f>IF(D22="Wave 1",1.5,IF(D22="Wave 2",1.2,1.0))</x:f>
        <x:v>1.2</x:v>
      </x:c>
      <x:c r="J22" s="12" t="n">
        <x:f>(G22*Assumptions!$B$5 + I22*Assumptions!$B$7) * H22</x:f>
        <x:v>234.4</x:v>
      </x:c>
      <x:c r="K22" t="str">
        <x:f>IF(D22="Wave 1","native reviewer + screenshot QA",IF(E22="RTL","senior reviewer or specialist",IF(E22="CJK","native reviewer with UI screenshot review","native reviewer")))</x:f>
        <x:v>native reviewer</x:v>
      </x:c>
    </x:row>
    <x:row r="23">
      <x:c r="A23" t="str">
        <x:v>ru-RU</x:v>
      </x:c>
      <x:c r="B23" t="str">
        <x:v>Russian</x:v>
      </x:c>
      <x:c r="C23" t="str">
        <x:v>Russia</x:v>
      </x:c>
      <x:c r="D23" t="str">
        <x:v>Wave 2</x:v>
      </x:c>
      <x:c r="E23" t="str">
        <x:v>standard</x:v>
      </x:c>
      <x:c r="F23" s="12" t="n">
        <x:f>Assumptions!$B$2*Assumptions!$B$3*Assumptions!$B$4</x:f>
        <x:v>2376</x:v>
      </x:c>
      <x:c r="G23" s="12" t="n">
        <x:f>Assumptions!$B$8+Assumptions!$B$9+Assumptions!$B$10</x:f>
        <x:v>7</x:v>
      </x:c>
      <x:c r="H23" s="12" t="n">
        <x:f>IF(E23="RTL",Assumptions!$B$11,IF(E23="CJK",Assumptions!$B$12,IF(D23="Wave 4",Assumptions!$B$13,1)))</x:f>
        <x:v>1</x:v>
      </x:c>
      <x:c r="I23" s="12" t="n">
        <x:f>IF(D23="Wave 1",1.5,IF(D23="Wave 2",1.2,1.0))</x:f>
        <x:v>1.2</x:v>
      </x:c>
      <x:c r="J23" s="12" t="n">
        <x:f>(G23*Assumptions!$B$5 + I23*Assumptions!$B$7) * H23</x:f>
        <x:v>234.4</x:v>
      </x:c>
      <x:c r="K23" t="str">
        <x:f>IF(D23="Wave 1","native reviewer + screenshot QA",IF(E23="RTL","senior reviewer or specialist",IF(E23="CJK","native reviewer with UI screenshot review","native reviewer")))</x:f>
        <x:v>native reviewer</x:v>
      </x:c>
    </x:row>
    <x:row r="24">
      <x:c r="A24" t="str">
        <x:v>el-GR</x:v>
      </x:c>
      <x:c r="B24" t="str">
        <x:v>Greek</x:v>
      </x:c>
      <x:c r="C24" t="str">
        <x:v>Greece</x:v>
      </x:c>
      <x:c r="D24" t="str">
        <x:v>Wave 3</x:v>
      </x:c>
      <x:c r="E24" t="str">
        <x:v>standard</x:v>
      </x:c>
      <x:c r="F24" s="12" t="n">
        <x:f>Assumptions!$B$2*Assumptions!$B$3*Assumptions!$B$4</x:f>
        <x:v>2376</x:v>
      </x:c>
      <x:c r="G24" s="12" t="n">
        <x:f>Assumptions!$B$8+Assumptions!$B$9+Assumptions!$B$10</x:f>
        <x:v>7</x:v>
      </x:c>
      <x:c r="H24" s="12" t="n">
        <x:f>IF(E24="RTL",Assumptions!$B$11,IF(E24="CJK",Assumptions!$B$12,IF(D24="Wave 4",Assumptions!$B$13,1)))</x:f>
        <x:v>1</x:v>
      </x:c>
      <x:c r="I24" s="12" t="n">
        <x:f>IF(D24="Wave 1",1.5,IF(D24="Wave 2",1.2,1.0))</x:f>
        <x:v>1</x:v>
      </x:c>
      <x:c r="J24" s="12" t="n">
        <x:f>(G24*Assumptions!$B$5 + I24*Assumptions!$B$7) * H24</x:f>
        <x:v>228</x:v>
      </x:c>
      <x:c r="K24" t="str">
        <x:f>IF(D24="Wave 1","native reviewer + screenshot QA",IF(E24="RTL","senior reviewer or specialist",IF(E24="CJK","native reviewer with UI screenshot review","native reviewer")))</x:f>
        <x:v>native reviewer</x:v>
      </x:c>
    </x:row>
    <x:row r="25">
      <x:c r="A25" t="str">
        <x:v>hi-IN</x:v>
      </x:c>
      <x:c r="B25" t="str">
        <x:v>Hindi</x:v>
      </x:c>
      <x:c r="C25" t="str">
        <x:v>India</x:v>
      </x:c>
      <x:c r="D25" t="str">
        <x:v>Wave 1</x:v>
      </x:c>
      <x:c r="E25" t="str">
        <x:v>standard</x:v>
      </x:c>
      <x:c r="F25" s="12" t="n">
        <x:f>Assumptions!$B$2*Assumptions!$B$3*Assumptions!$B$4</x:f>
        <x:v>2376</x:v>
      </x:c>
      <x:c r="G25" s="12" t="n">
        <x:f>Assumptions!$B$8+Assumptions!$B$9+Assumptions!$B$10</x:f>
        <x:v>7</x:v>
      </x:c>
      <x:c r="H25" s="12" t="n">
        <x:f>IF(E25="RTL",Assumptions!$B$11,IF(E25="CJK",Assumptions!$B$12,IF(D25="Wave 4",Assumptions!$B$13,1)))</x:f>
        <x:v>1</x:v>
      </x:c>
      <x:c r="I25" s="12" t="n">
        <x:f>IF(D25="Wave 1",1.5,IF(D25="Wave 2",1.2,1.0))</x:f>
        <x:v>1.5</x:v>
      </x:c>
      <x:c r="J25" s="12" t="n">
        <x:f>(G25*Assumptions!$B$5 + I25*Assumptions!$B$7) * H25</x:f>
        <x:v>244</x:v>
      </x:c>
      <x:c r="K25" t="str">
        <x:f>IF(D25="Wave 1","native reviewer + screenshot QA",IF(E25="RTL","senior reviewer or specialist",IF(E25="CJK","native reviewer with UI screenshot review","native reviewer")))</x:f>
        <x:v>native reviewer + screenshot QA</x:v>
      </x:c>
    </x:row>
    <x:row r="26">
      <x:c r="A26" t="str">
        <x:v>bn-BD</x:v>
      </x:c>
      <x:c r="B26" t="str">
        <x:v>Bengali</x:v>
      </x:c>
      <x:c r="C26" t="str">
        <x:v>Bangladesh</x:v>
      </x:c>
      <x:c r="D26" t="str">
        <x:v>Wave 2</x:v>
      </x:c>
      <x:c r="E26" t="str">
        <x:v>standard</x:v>
      </x:c>
      <x:c r="F26" s="12" t="n">
        <x:f>Assumptions!$B$2*Assumptions!$B$3*Assumptions!$B$4</x:f>
        <x:v>2376</x:v>
      </x:c>
      <x:c r="G26" s="12" t="n">
        <x:f>Assumptions!$B$8+Assumptions!$B$9+Assumptions!$B$10</x:f>
        <x:v>7</x:v>
      </x:c>
      <x:c r="H26" s="12" t="n">
        <x:f>IF(E26="RTL",Assumptions!$B$11,IF(E26="CJK",Assumptions!$B$12,IF(D26="Wave 4",Assumptions!$B$13,1)))</x:f>
        <x:v>1</x:v>
      </x:c>
      <x:c r="I26" s="12" t="n">
        <x:f>IF(D26="Wave 1",1.5,IF(D26="Wave 2",1.2,1.0))</x:f>
        <x:v>1.2</x:v>
      </x:c>
      <x:c r="J26" s="12" t="n">
        <x:f>(G26*Assumptions!$B$5 + I26*Assumptions!$B$7) * H26</x:f>
        <x:v>234.4</x:v>
      </x:c>
      <x:c r="K26" t="str">
        <x:f>IF(D26="Wave 1","native reviewer + screenshot QA",IF(E26="RTL","senior reviewer or specialist",IF(E26="CJK","native reviewer with UI screenshot review","native reviewer")))</x:f>
        <x:v>native reviewer</x:v>
      </x:c>
    </x:row>
    <x:row r="27">
      <x:c r="A27" t="str">
        <x:v>bn-IN</x:v>
      </x:c>
      <x:c r="B27" t="str">
        <x:v>Bengali</x:v>
      </x:c>
      <x:c r="C27" t="str">
        <x:v>India</x:v>
      </x:c>
      <x:c r="D27" t="str">
        <x:v>Wave 3</x:v>
      </x:c>
      <x:c r="E27" t="str">
        <x:v>standard</x:v>
      </x:c>
      <x:c r="F27" s="12" t="n">
        <x:f>Assumptions!$B$2*Assumptions!$B$3*Assumptions!$B$4</x:f>
        <x:v>2376</x:v>
      </x:c>
      <x:c r="G27" s="12" t="n">
        <x:f>Assumptions!$B$8+Assumptions!$B$9+Assumptions!$B$10</x:f>
        <x:v>7</x:v>
      </x:c>
      <x:c r="H27" s="12" t="n">
        <x:f>IF(E27="RTL",Assumptions!$B$11,IF(E27="CJK",Assumptions!$B$12,IF(D27="Wave 4",Assumptions!$B$13,1)))</x:f>
        <x:v>1</x:v>
      </x:c>
      <x:c r="I27" s="12" t="n">
        <x:f>IF(D27="Wave 1",1.5,IF(D27="Wave 2",1.2,1.0))</x:f>
        <x:v>1</x:v>
      </x:c>
      <x:c r="J27" s="12" t="n">
        <x:f>(G27*Assumptions!$B$5 + I27*Assumptions!$B$7) * H27</x:f>
        <x:v>228</x:v>
      </x:c>
      <x:c r="K27" t="str">
        <x:f>IF(D27="Wave 1","native reviewer + screenshot QA",IF(E27="RTL","senior reviewer or specialist",IF(E27="CJK","native reviewer with UI screenshot review","native reviewer")))</x:f>
        <x:v>native reviewer</x:v>
      </x:c>
    </x:row>
    <x:row r="28">
      <x:c r="A28" t="str">
        <x:v>ur-PK</x:v>
      </x:c>
      <x:c r="B28" t="str">
        <x:v>Urdu</x:v>
      </x:c>
      <x:c r="C28" t="str">
        <x:v>Pakistan</x:v>
      </x:c>
      <x:c r="D28" t="str">
        <x:v>Wave 2</x:v>
      </x:c>
      <x:c r="E28" t="str">
        <x:v>RTL</x:v>
      </x:c>
      <x:c r="F28" s="12" t="n">
        <x:f>Assumptions!$B$2*Assumptions!$B$3*Assumptions!$B$4</x:f>
        <x:v>2376</x:v>
      </x:c>
      <x:c r="G28" s="12" t="n">
        <x:f>Assumptions!$B$8+Assumptions!$B$9+Assumptions!$B$10</x:f>
        <x:v>7</x:v>
      </x:c>
      <x:c r="H28" s="12" t="n">
        <x:f>IF(E28="RTL",Assumptions!$B$11,IF(E28="CJK",Assumptions!$B$12,IF(D28="Wave 4",Assumptions!$B$13,1)))</x:f>
        <x:v>1.35</x:v>
      </x:c>
      <x:c r="I28" s="12" t="n">
        <x:f>IF(D28="Wave 1",1.5,IF(D28="Wave 2",1.2,1.0))</x:f>
        <x:v>1.2</x:v>
      </x:c>
      <x:c r="J28" s="12" t="n">
        <x:f>(G28*Assumptions!$B$5 + I28*Assumptions!$B$7) * H28</x:f>
        <x:v>316.44000000000005</x:v>
      </x:c>
      <x:c r="K28" t="str">
        <x:f>IF(D28="Wave 1","native reviewer + screenshot QA",IF(E28="RTL","senior reviewer or specialist",IF(E28="CJK","native reviewer with UI screenshot review","native reviewer")))</x:f>
        <x:v>senior reviewer or specialist</x:v>
      </x:c>
    </x:row>
    <x:row r="29">
      <x:c r="A29" t="str">
        <x:v>ur-IN</x:v>
      </x:c>
      <x:c r="B29" t="str">
        <x:v>Urdu</x:v>
      </x:c>
      <x:c r="C29" t="str">
        <x:v>India</x:v>
      </x:c>
      <x:c r="D29" t="str">
        <x:v>Wave 3</x:v>
      </x:c>
      <x:c r="E29" t="str">
        <x:v>RTL</x:v>
      </x:c>
      <x:c r="F29" s="12" t="n">
        <x:f>Assumptions!$B$2*Assumptions!$B$3*Assumptions!$B$4</x:f>
        <x:v>2376</x:v>
      </x:c>
      <x:c r="G29" s="12" t="n">
        <x:f>Assumptions!$B$8+Assumptions!$B$9+Assumptions!$B$10</x:f>
        <x:v>7</x:v>
      </x:c>
      <x:c r="H29" s="12" t="n">
        <x:f>IF(E29="RTL",Assumptions!$B$11,IF(E29="CJK",Assumptions!$B$12,IF(D29="Wave 4",Assumptions!$B$13,1)))</x:f>
        <x:v>1.35</x:v>
      </x:c>
      <x:c r="I29" s="12" t="n">
        <x:f>IF(D29="Wave 1",1.5,IF(D29="Wave 2",1.2,1.0))</x:f>
        <x:v>1</x:v>
      </x:c>
      <x:c r="J29" s="12" t="n">
        <x:f>(G29*Assumptions!$B$5 + I29*Assumptions!$B$7) * H29</x:f>
        <x:v>307.8</x:v>
      </x:c>
      <x:c r="K29" t="str">
        <x:f>IF(D29="Wave 1","native reviewer + screenshot QA",IF(E29="RTL","senior reviewer or specialist",IF(E29="CJK","native reviewer with UI screenshot review","native reviewer")))</x:f>
        <x:v>senior reviewer or specialist</x:v>
      </x:c>
    </x:row>
    <x:row r="30">
      <x:c r="A30" t="str">
        <x:v>ko-KR</x:v>
      </x:c>
      <x:c r="B30" t="str">
        <x:v>Korean</x:v>
      </x:c>
      <x:c r="C30" t="str">
        <x:v>South Korea</x:v>
      </x:c>
      <x:c r="D30" t="str">
        <x:v>Wave 1</x:v>
      </x:c>
      <x:c r="E30" t="str">
        <x:v>CJK</x:v>
      </x:c>
      <x:c r="F30" s="12" t="n">
        <x:f>Assumptions!$B$2*Assumptions!$B$3*Assumptions!$B$4</x:f>
        <x:v>2376</x:v>
      </x:c>
      <x:c r="G30" s="12" t="n">
        <x:f>Assumptions!$B$8+Assumptions!$B$9+Assumptions!$B$10</x:f>
        <x:v>7</x:v>
      </x:c>
      <x:c r="H30" s="12" t="n">
        <x:f>IF(E30="RTL",Assumptions!$B$11,IF(E30="CJK",Assumptions!$B$12,IF(D30="Wave 4",Assumptions!$B$13,1)))</x:f>
        <x:v>1.2</x:v>
      </x:c>
      <x:c r="I30" s="12" t="n">
        <x:f>IF(D30="Wave 1",1.5,IF(D30="Wave 2",1.2,1.0))</x:f>
        <x:v>1.5</x:v>
      </x:c>
      <x:c r="J30" s="12" t="n">
        <x:f>(G30*Assumptions!$B$5 + I30*Assumptions!$B$7) * H30</x:f>
        <x:v>292.8</x:v>
      </x:c>
      <x:c r="K30" t="str">
        <x:f>IF(D30="Wave 1","native reviewer + screenshot QA",IF(E30="RTL","senior reviewer or specialist",IF(E30="CJK","native reviewer with UI screenshot review","native reviewer")))</x:f>
        <x:v>native reviewer + screenshot QA</x:v>
      </x:c>
    </x:row>
    <x:row r="31">
      <x:c r="A31" t="str">
        <x:v>jv-ID</x:v>
      </x:c>
      <x:c r="B31" t="str">
        <x:v>Javanese</x:v>
      </x:c>
      <x:c r="C31" t="str">
        <x:v>Indonesia</x:v>
      </x:c>
      <x:c r="D31" t="str">
        <x:v>Wave 4</x:v>
      </x:c>
      <x:c r="E31" t="str">
        <x:v>standard</x:v>
      </x:c>
      <x:c r="F31" s="12" t="n">
        <x:f>Assumptions!$B$2*Assumptions!$B$3*Assumptions!$B$4</x:f>
        <x:v>2376</x:v>
      </x:c>
      <x:c r="G31" s="12" t="n">
        <x:f>Assumptions!$B$8+Assumptions!$B$9+Assumptions!$B$10</x:f>
        <x:v>7</x:v>
      </x:c>
      <x:c r="H31" s="12" t="n">
        <x:f>IF(E31="RTL",Assumptions!$B$11,IF(E31="CJK",Assumptions!$B$12,IF(D31="Wave 4",Assumptions!$B$13,1)))</x:f>
        <x:v>0.85</x:v>
      </x:c>
      <x:c r="I31" s="12" t="n">
        <x:f>IF(D31="Wave 1",1.5,IF(D31="Wave 2",1.2,1.0))</x:f>
        <x:v>1</x:v>
      </x:c>
      <x:c r="J31" s="12" t="n">
        <x:f>(G31*Assumptions!$B$5 + I31*Assumptions!$B$7) * H31</x:f>
        <x:v>193.79999999999998</x:v>
      </x:c>
      <x:c r="K31" t="str">
        <x:f>IF(D31="Wave 1","native reviewer + screenshot QA",IF(E31="RTL","senior reviewer or specialist",IF(E31="CJK","native reviewer with UI screenshot review","native reviewer")))</x:f>
        <x:v>native reviewer</x:v>
      </x:c>
    </x:row>
    <x:row r="32">
      <x:c r="A32" t="str">
        <x:v>tr-TR</x:v>
      </x:c>
      <x:c r="B32" t="str">
        <x:v>Turkish</x:v>
      </x:c>
      <x:c r="C32" t="str">
        <x:v>Türkiye</x:v>
      </x:c>
      <x:c r="D32" t="str">
        <x:v>Wave 2</x:v>
      </x:c>
      <x:c r="E32" t="str">
        <x:v>standard</x:v>
      </x:c>
      <x:c r="F32" s="12" t="n">
        <x:f>Assumptions!$B$2*Assumptions!$B$3*Assumptions!$B$4</x:f>
        <x:v>2376</x:v>
      </x:c>
      <x:c r="G32" s="12" t="n">
        <x:f>Assumptions!$B$8+Assumptions!$B$9+Assumptions!$B$10</x:f>
        <x:v>7</x:v>
      </x:c>
      <x:c r="H32" s="12" t="n">
        <x:f>IF(E32="RTL",Assumptions!$B$11,IF(E32="CJK",Assumptions!$B$12,IF(D32="Wave 4",Assumptions!$B$13,1)))</x:f>
        <x:v>1</x:v>
      </x:c>
      <x:c r="I32" s="12" t="n">
        <x:f>IF(D32="Wave 1",1.5,IF(D32="Wave 2",1.2,1.0))</x:f>
        <x:v>1.2</x:v>
      </x:c>
      <x:c r="J32" s="12" t="n">
        <x:f>(G32*Assumptions!$B$5 + I32*Assumptions!$B$7) * H32</x:f>
        <x:v>234.4</x:v>
      </x:c>
      <x:c r="K32" t="str">
        <x:f>IF(D32="Wave 1","native reviewer + screenshot QA",IF(E32="RTL","senior reviewer or specialist",IF(E32="CJK","native reviewer with UI screenshot review","native reviewer")))</x:f>
        <x:v>native reviewer</x:v>
      </x:c>
    </x:row>
    <x:row r="33">
      <x:c r="A33" t="str">
        <x:v>vi-VN</x:v>
      </x:c>
      <x:c r="B33" t="str">
        <x:v>Vietnamese</x:v>
      </x:c>
      <x:c r="C33" t="str">
        <x:v>Vietnam</x:v>
      </x:c>
      <x:c r="D33" t="str">
        <x:v>Wave 2</x:v>
      </x:c>
      <x:c r="E33" t="str">
        <x:v>standard</x:v>
      </x:c>
      <x:c r="F33" s="12" t="n">
        <x:f>Assumptions!$B$2*Assumptions!$B$3*Assumptions!$B$4</x:f>
        <x:v>2376</x:v>
      </x:c>
      <x:c r="G33" s="12" t="n">
        <x:f>Assumptions!$B$8+Assumptions!$B$9+Assumptions!$B$10</x:f>
        <x:v>7</x:v>
      </x:c>
      <x:c r="H33" s="12" t="n">
        <x:f>IF(E33="RTL",Assumptions!$B$11,IF(E33="CJK",Assumptions!$B$12,IF(D33="Wave 4",Assumptions!$B$13,1)))</x:f>
        <x:v>1</x:v>
      </x:c>
      <x:c r="I33" s="12" t="n">
        <x:f>IF(D33="Wave 1",1.5,IF(D33="Wave 2",1.2,1.0))</x:f>
        <x:v>1.2</x:v>
      </x:c>
      <x:c r="J33" s="12" t="n">
        <x:f>(G33*Assumptions!$B$5 + I33*Assumptions!$B$7) * H33</x:f>
        <x:v>234.4</x:v>
      </x:c>
      <x:c r="K33" t="str">
        <x:f>IF(D33="Wave 1","native reviewer + screenshot QA",IF(E33="RTL","senior reviewer or specialist",IF(E33="CJK","native reviewer with UI screenshot review","native reviewer")))</x:f>
        <x:v>native reviewer</x:v>
      </x:c>
    </x:row>
    <x:row r="34">
      <x:c r="A34" t="str">
        <x:v>ta-IN</x:v>
      </x:c>
      <x:c r="B34" t="str">
        <x:v>Tamil</x:v>
      </x:c>
      <x:c r="C34" t="str">
        <x:v>India</x:v>
      </x:c>
      <x:c r="D34" t="str">
        <x:v>Wave 3</x:v>
      </x:c>
      <x:c r="E34" t="str">
        <x:v>standard</x:v>
      </x:c>
      <x:c r="F34" s="12" t="n">
        <x:f>Assumptions!$B$2*Assumptions!$B$3*Assumptions!$B$4</x:f>
        <x:v>2376</x:v>
      </x:c>
      <x:c r="G34" s="12" t="n">
        <x:f>Assumptions!$B$8+Assumptions!$B$9+Assumptions!$B$10</x:f>
        <x:v>7</x:v>
      </x:c>
      <x:c r="H34" s="12" t="n">
        <x:f>IF(E34="RTL",Assumptions!$B$11,IF(E34="CJK",Assumptions!$B$12,IF(D34="Wave 4",Assumptions!$B$13,1)))</x:f>
        <x:v>1</x:v>
      </x:c>
      <x:c r="I34" s="12" t="n">
        <x:f>IF(D34="Wave 1",1.5,IF(D34="Wave 2",1.2,1.0))</x:f>
        <x:v>1</x:v>
      </x:c>
      <x:c r="J34" s="12" t="n">
        <x:f>(G34*Assumptions!$B$5 + I34*Assumptions!$B$7) * H34</x:f>
        <x:v>228</x:v>
      </x:c>
      <x:c r="K34" t="str">
        <x:f>IF(D34="Wave 1","native reviewer + screenshot QA",IF(E34="RTL","senior reviewer or specialist",IF(E34="CJK","native reviewer with UI screenshot review","native reviewer")))</x:f>
        <x:v>native reviewer</x:v>
      </x:c>
    </x:row>
    <x:row r="35">
      <x:c r="A35" t="str">
        <x:v>ta-LK</x:v>
      </x:c>
      <x:c r="B35" t="str">
        <x:v>Tamil</x:v>
      </x:c>
      <x:c r="C35" t="str">
        <x:v>Sri Lanka</x:v>
      </x:c>
      <x:c r="D35" t="str">
        <x:v>Wave 4</x:v>
      </x:c>
      <x:c r="E35" t="str">
        <x:v>standard</x:v>
      </x:c>
      <x:c r="F35" s="12" t="n">
        <x:f>Assumptions!$B$2*Assumptions!$B$3*Assumptions!$B$4</x:f>
        <x:v>2376</x:v>
      </x:c>
      <x:c r="G35" s="12" t="n">
        <x:f>Assumptions!$B$8+Assumptions!$B$9+Assumptions!$B$10</x:f>
        <x:v>7</x:v>
      </x:c>
      <x:c r="H35" s="12" t="n">
        <x:f>IF(E35="RTL",Assumptions!$B$11,IF(E35="CJK",Assumptions!$B$12,IF(D35="Wave 4",Assumptions!$B$13,1)))</x:f>
        <x:v>0.85</x:v>
      </x:c>
      <x:c r="I35" s="12" t="n">
        <x:f>IF(D35="Wave 1",1.5,IF(D35="Wave 2",1.2,1.0))</x:f>
        <x:v>1</x:v>
      </x:c>
      <x:c r="J35" s="12" t="n">
        <x:f>(G35*Assumptions!$B$5 + I35*Assumptions!$B$7) * H35</x:f>
        <x:v>193.79999999999998</x:v>
      </x:c>
      <x:c r="K35" t="str">
        <x:f>IF(D35="Wave 1","native reviewer + screenshot QA",IF(E35="RTL","senior reviewer or specialist",IF(E35="CJK","native reviewer with UI screenshot review","native reviewer")))</x:f>
        <x:v>native reviewer</x:v>
      </x:c>
    </x:row>
    <x:row r="36">
      <x:c r="A36" t="str">
        <x:v>ta-SG</x:v>
      </x:c>
      <x:c r="B36" t="str">
        <x:v>Tamil</x:v>
      </x:c>
      <x:c r="C36" t="str">
        <x:v>Singapore</x:v>
      </x:c>
      <x:c r="D36" t="str">
        <x:v>Wave 4</x:v>
      </x:c>
      <x:c r="E36" t="str">
        <x:v>standard</x:v>
      </x:c>
      <x:c r="F36" s="12" t="n">
        <x:f>Assumptions!$B$2*Assumptions!$B$3*Assumptions!$B$4</x:f>
        <x:v>2376</x:v>
      </x:c>
      <x:c r="G36" s="12" t="n">
        <x:f>Assumptions!$B$8+Assumptions!$B$9+Assumptions!$B$10</x:f>
        <x:v>7</x:v>
      </x:c>
      <x:c r="H36" s="12" t="n">
        <x:f>IF(E36="RTL",Assumptions!$B$11,IF(E36="CJK",Assumptions!$B$12,IF(D36="Wave 4",Assumptions!$B$13,1)))</x:f>
        <x:v>0.85</x:v>
      </x:c>
      <x:c r="I36" s="12" t="n">
        <x:f>IF(D36="Wave 1",1.5,IF(D36="Wave 2",1.2,1.0))</x:f>
        <x:v>1</x:v>
      </x:c>
      <x:c r="J36" s="12" t="n">
        <x:f>(G36*Assumptions!$B$5 + I36*Assumptions!$B$7) * H36</x:f>
        <x:v>193.79999999999998</x:v>
      </x:c>
      <x:c r="K36" t="str">
        <x:f>IF(D36="Wave 1","native reviewer + screenshot QA",IF(E36="RTL","senior reviewer or specialist",IF(E36="CJK","native reviewer with UI screenshot review","native reviewer")))</x:f>
        <x:v>native reviewer</x:v>
      </x:c>
    </x:row>
    <x:row r="37">
      <x:c r="A37" t="str">
        <x:v>fa-IR</x:v>
      </x:c>
      <x:c r="B37" t="str">
        <x:v>Persian</x:v>
      </x:c>
      <x:c r="C37" t="str">
        <x:v>Iran</x:v>
      </x:c>
      <x:c r="D37" t="str">
        <x:v>Wave 2</x:v>
      </x:c>
      <x:c r="E37" t="str">
        <x:v>RTL</x:v>
      </x:c>
      <x:c r="F37" s="12" t="n">
        <x:f>Assumptions!$B$2*Assumptions!$B$3*Assumptions!$B$4</x:f>
        <x:v>2376</x:v>
      </x:c>
      <x:c r="G37" s="12" t="n">
        <x:f>Assumptions!$B$8+Assumptions!$B$9+Assumptions!$B$10</x:f>
        <x:v>7</x:v>
      </x:c>
      <x:c r="H37" s="12" t="n">
        <x:f>IF(E37="RTL",Assumptions!$B$11,IF(E37="CJK",Assumptions!$B$12,IF(D37="Wave 4",Assumptions!$B$13,1)))</x:f>
        <x:v>1.35</x:v>
      </x:c>
      <x:c r="I37" s="12" t="n">
        <x:f>IF(D37="Wave 1",1.5,IF(D37="Wave 2",1.2,1.0))</x:f>
        <x:v>1.2</x:v>
      </x:c>
      <x:c r="J37" s="12" t="n">
        <x:f>(G37*Assumptions!$B$5 + I37*Assumptions!$B$7) * H37</x:f>
        <x:v>316.44000000000005</x:v>
      </x:c>
      <x:c r="K37" t="str">
        <x:f>IF(D37="Wave 1","native reviewer + screenshot QA",IF(E37="RTL","senior reviewer or specialist",IF(E37="CJK","native reviewer with UI screenshot review","native reviewer")))</x:f>
        <x:v>senior reviewer or specialist</x:v>
      </x:c>
    </x:row>
    <x:row r="38">
      <x:c r="A38" t="str">
        <x:v>ms-MY</x:v>
      </x:c>
      <x:c r="B38" t="str">
        <x:v>Malay</x:v>
      </x:c>
      <x:c r="C38" t="str">
        <x:v>Malaysia</x:v>
      </x:c>
      <x:c r="D38" t="str">
        <x:v>Wave 3</x:v>
      </x:c>
      <x:c r="E38" t="str">
        <x:v>standard</x:v>
      </x:c>
      <x:c r="F38" s="12" t="n">
        <x:f>Assumptions!$B$2*Assumptions!$B$3*Assumptions!$B$4</x:f>
        <x:v>2376</x:v>
      </x:c>
      <x:c r="G38" s="12" t="n">
        <x:f>Assumptions!$B$8+Assumptions!$B$9+Assumptions!$B$10</x:f>
        <x:v>7</x:v>
      </x:c>
      <x:c r="H38" s="12" t="n">
        <x:f>IF(E38="RTL",Assumptions!$B$11,IF(E38="CJK",Assumptions!$B$12,IF(D38="Wave 4",Assumptions!$B$13,1)))</x:f>
        <x:v>1</x:v>
      </x:c>
      <x:c r="I38" s="12" t="n">
        <x:f>IF(D38="Wave 1",1.5,IF(D38="Wave 2",1.2,1.0))</x:f>
        <x:v>1</x:v>
      </x:c>
      <x:c r="J38" s="12" t="n">
        <x:f>(G38*Assumptions!$B$5 + I38*Assumptions!$B$7) * H38</x:f>
        <x:v>228</x:v>
      </x:c>
      <x:c r="K38" t="str">
        <x:f>IF(D38="Wave 1","native reviewer + screenshot QA",IF(E38="RTL","senior reviewer or specialist",IF(E38="CJK","native reviewer with UI screenshot review","native reviewer")))</x:f>
        <x:v>native reviewer</x:v>
      </x:c>
    </x:row>
    <x:row r="39">
      <x:c r="A39" t="str">
        <x:v>ms-SG</x:v>
      </x:c>
      <x:c r="B39" t="str">
        <x:v>Malay</x:v>
      </x:c>
      <x:c r="C39" t="str">
        <x:v>Singapore</x:v>
      </x:c>
      <x:c r="D39" t="str">
        <x:v>Wave 4</x:v>
      </x:c>
      <x:c r="E39" t="str">
        <x:v>standard</x:v>
      </x:c>
      <x:c r="F39" s="12" t="n">
        <x:f>Assumptions!$B$2*Assumptions!$B$3*Assumptions!$B$4</x:f>
        <x:v>2376</x:v>
      </x:c>
      <x:c r="G39" s="12" t="n">
        <x:f>Assumptions!$B$8+Assumptions!$B$9+Assumptions!$B$10</x:f>
        <x:v>7</x:v>
      </x:c>
      <x:c r="H39" s="12" t="n">
        <x:f>IF(E39="RTL",Assumptions!$B$11,IF(E39="CJK",Assumptions!$B$12,IF(D39="Wave 4",Assumptions!$B$13,1)))</x:f>
        <x:v>0.85</x:v>
      </x:c>
      <x:c r="I39" s="12" t="n">
        <x:f>IF(D39="Wave 1",1.5,IF(D39="Wave 2",1.2,1.0))</x:f>
        <x:v>1</x:v>
      </x:c>
      <x:c r="J39" s="12" t="n">
        <x:f>(G39*Assumptions!$B$5 + I39*Assumptions!$B$7) * H39</x:f>
        <x:v>193.79999999999998</x:v>
      </x:c>
      <x:c r="K39" t="str">
        <x:f>IF(D39="Wave 1","native reviewer + screenshot QA",IF(E39="RTL","senior reviewer or specialist",IF(E39="CJK","native reviewer with UI screenshot review","native reviewer")))</x:f>
        <x:v>native reviewer</x:v>
      </x:c>
    </x:row>
    <x:row r="40">
      <x:c r="A40" t="str">
        <x:v>ms-BN</x:v>
      </x:c>
      <x:c r="B40" t="str">
        <x:v>Malay</x:v>
      </x:c>
      <x:c r="C40" t="str">
        <x:v>Brunei</x:v>
      </x:c>
      <x:c r="D40" t="str">
        <x:v>Wave 4</x:v>
      </x:c>
      <x:c r="E40" t="str">
        <x:v>standard</x:v>
      </x:c>
      <x:c r="F40" s="12" t="n">
        <x:f>Assumptions!$B$2*Assumptions!$B$3*Assumptions!$B$4</x:f>
        <x:v>2376</x:v>
      </x:c>
      <x:c r="G40" s="12" t="n">
        <x:f>Assumptions!$B$8+Assumptions!$B$9+Assumptions!$B$10</x:f>
        <x:v>7</x:v>
      </x:c>
      <x:c r="H40" s="12" t="n">
        <x:f>IF(E40="RTL",Assumptions!$B$11,IF(E40="CJK",Assumptions!$B$12,IF(D40="Wave 4",Assumptions!$B$13,1)))</x:f>
        <x:v>0.85</x:v>
      </x:c>
      <x:c r="I40" s="12" t="n">
        <x:f>IF(D40="Wave 1",1.5,IF(D40="Wave 2",1.2,1.0))</x:f>
        <x:v>1</x:v>
      </x:c>
      <x:c r="J40" s="12" t="n">
        <x:f>(G40*Assumptions!$B$5 + I40*Assumptions!$B$7) * H40</x:f>
        <x:v>193.79999999999998</x:v>
      </x:c>
      <x:c r="K40" t="str">
        <x:f>IF(D40="Wave 1","native reviewer + screenshot QA",IF(E40="RTL","senior reviewer or specialist",IF(E40="CJK","native reviewer with UI screenshot review","native reviewer")))</x:f>
        <x:v>native reviewer</x:v>
      </x:c>
    </x:row>
    <x:row r="41">
      <x:c r="A41" t="str">
        <x:v>uk-UA</x:v>
      </x:c>
      <x:c r="B41" t="str">
        <x:v>Ukrainian</x:v>
      </x:c>
      <x:c r="C41" t="str">
        <x:v>Ukraine</x:v>
      </x:c>
      <x:c r="D41" t="str">
        <x:v>Wave 3</x:v>
      </x:c>
      <x:c r="E41" t="str">
        <x:v>standard</x:v>
      </x:c>
      <x:c r="F41" s="12" t="n">
        <x:f>Assumptions!$B$2*Assumptions!$B$3*Assumptions!$B$4</x:f>
        <x:v>2376</x:v>
      </x:c>
      <x:c r="G41" s="12" t="n">
        <x:f>Assumptions!$B$8+Assumptions!$B$9+Assumptions!$B$10</x:f>
        <x:v>7</x:v>
      </x:c>
      <x:c r="H41" s="12" t="n">
        <x:f>IF(E41="RTL",Assumptions!$B$11,IF(E41="CJK",Assumptions!$B$12,IF(D41="Wave 4",Assumptions!$B$13,1)))</x:f>
        <x:v>1</x:v>
      </x:c>
      <x:c r="I41" s="12" t="n">
        <x:f>IF(D41="Wave 1",1.5,IF(D41="Wave 2",1.2,1.0))</x:f>
        <x:v>1</x:v>
      </x:c>
      <x:c r="J41" s="12" t="n">
        <x:f>(G41*Assumptions!$B$5 + I41*Assumptions!$B$7) * H41</x:f>
        <x:v>228</x:v>
      </x:c>
      <x:c r="K41" t="str">
        <x:f>IF(D41="Wave 1","native reviewer + screenshot QA",IF(E41="RTL","senior reviewer or specialist",IF(E41="CJK","native reviewer with UI screenshot review","native reviewer")))</x:f>
        <x:v>native reviewer</x:v>
      </x:c>
    </x:row>
    <x:row r="42">
      <x:c r="A42" t="str">
        <x:v>da-DK</x:v>
      </x:c>
      <x:c r="B42" t="str">
        <x:v>Danish</x:v>
      </x:c>
      <x:c r="C42" t="str">
        <x:v>Denmark</x:v>
      </x:c>
      <x:c r="D42" t="str">
        <x:v>Wave 3</x:v>
      </x:c>
      <x:c r="E42" t="str">
        <x:v>standard</x:v>
      </x:c>
      <x:c r="F42" s="12" t="n">
        <x:f>Assumptions!$B$2*Assumptions!$B$3*Assumptions!$B$4</x:f>
        <x:v>2376</x:v>
      </x:c>
      <x:c r="G42" s="12" t="n">
        <x:f>Assumptions!$B$8+Assumptions!$B$9+Assumptions!$B$10</x:f>
        <x:v>7</x:v>
      </x:c>
      <x:c r="H42" s="12" t="n">
        <x:f>IF(E42="RTL",Assumptions!$B$11,IF(E42="CJK",Assumptions!$B$12,IF(D42="Wave 4",Assumptions!$B$13,1)))</x:f>
        <x:v>1</x:v>
      </x:c>
      <x:c r="I42" s="12" t="n">
        <x:f>IF(D42="Wave 1",1.5,IF(D42="Wave 2",1.2,1.0))</x:f>
        <x:v>1</x:v>
      </x:c>
      <x:c r="J42" s="12" t="n">
        <x:f>(G42*Assumptions!$B$5 + I42*Assumptions!$B$7) * H42</x:f>
        <x:v>228</x:v>
      </x:c>
      <x:c r="K42" t="str">
        <x:f>IF(D42="Wave 1","native reviewer + screenshot QA",IF(E42="RTL","senior reviewer or specialist",IF(E42="CJK","native reviewer with UI screenshot review","native reviewer")))</x:f>
        <x:v>native reviewer</x:v>
      </x:c>
    </x:row>
    <x:row r="43">
      <x:c r="A43" t="str">
        <x:v>nb-NO</x:v>
      </x:c>
      <x:c r="B43" t="str">
        <x:v>Norwegian Bokmål</x:v>
      </x:c>
      <x:c r="C43" t="str">
        <x:v>Norway</x:v>
      </x:c>
      <x:c r="D43" t="str">
        <x:v>Wave 3</x:v>
      </x:c>
      <x:c r="E43" t="str">
        <x:v>standard</x:v>
      </x:c>
      <x:c r="F43" s="12" t="n">
        <x:f>Assumptions!$B$2*Assumptions!$B$3*Assumptions!$B$4</x:f>
        <x:v>2376</x:v>
      </x:c>
      <x:c r="G43" s="12" t="n">
        <x:f>Assumptions!$B$8+Assumptions!$B$9+Assumptions!$B$10</x:f>
        <x:v>7</x:v>
      </x:c>
      <x:c r="H43" s="12" t="n">
        <x:f>IF(E43="RTL",Assumptions!$B$11,IF(E43="CJK",Assumptions!$B$12,IF(D43="Wave 4",Assumptions!$B$13,1)))</x:f>
        <x:v>1</x:v>
      </x:c>
      <x:c r="I43" s="12" t="n">
        <x:f>IF(D43="Wave 1",1.5,IF(D43="Wave 2",1.2,1.0))</x:f>
        <x:v>1</x:v>
      </x:c>
      <x:c r="J43" s="12" t="n">
        <x:f>(G43*Assumptions!$B$5 + I43*Assumptions!$B$7) * H43</x:f>
        <x:v>228</x:v>
      </x:c>
      <x:c r="K43" t="str">
        <x:f>IF(D43="Wave 1","native reviewer + screenshot QA",IF(E43="RTL","senior reviewer or specialist",IF(E43="CJK","native reviewer with UI screenshot review","native reviewer")))</x:f>
        <x:v>native reviewer</x:v>
      </x:c>
    </x:row>
    <x:row r="44">
      <x:c r="A44" t="str">
        <x:v>nn-NO</x:v>
      </x:c>
      <x:c r="B44" t="str">
        <x:v>Norwegian Nynorsk</x:v>
      </x:c>
      <x:c r="C44" t="str">
        <x:v>Norway</x:v>
      </x:c>
      <x:c r="D44" t="str">
        <x:v>Wave 4</x:v>
      </x:c>
      <x:c r="E44" t="str">
        <x:v>standard</x:v>
      </x:c>
      <x:c r="F44" s="12" t="n">
        <x:f>Assumptions!$B$2*Assumptions!$B$3*Assumptions!$B$4</x:f>
        <x:v>2376</x:v>
      </x:c>
      <x:c r="G44" s="12" t="n">
        <x:f>Assumptions!$B$8+Assumptions!$B$9+Assumptions!$B$10</x:f>
        <x:v>7</x:v>
      </x:c>
      <x:c r="H44" s="12" t="n">
        <x:f>IF(E44="RTL",Assumptions!$B$11,IF(E44="CJK",Assumptions!$B$12,IF(D44="Wave 4",Assumptions!$B$13,1)))</x:f>
        <x:v>0.85</x:v>
      </x:c>
      <x:c r="I44" s="12" t="n">
        <x:f>IF(D44="Wave 1",1.5,IF(D44="Wave 2",1.2,1.0))</x:f>
        <x:v>1</x:v>
      </x:c>
      <x:c r="J44" s="12" t="n">
        <x:f>(G44*Assumptions!$B$5 + I44*Assumptions!$B$7) * H44</x:f>
        <x:v>193.79999999999998</x:v>
      </x:c>
      <x:c r="K44" t="str">
        <x:f>IF(D44="Wave 1","native reviewer + screenshot QA",IF(E44="RTL","senior reviewer or specialist",IF(E44="CJK","native reviewer with UI screenshot review","native reviewer")))</x:f>
        <x:v>native reviewer</x:v>
      </x:c>
    </x:row>
    <x:row r="45">
      <x:c r="A45" t="str">
        <x:v>ro-RO</x:v>
      </x:c>
      <x:c r="B45" t="str">
        <x:v>Romanian</x:v>
      </x:c>
      <x:c r="C45" t="str">
        <x:v>Romania</x:v>
      </x:c>
      <x:c r="D45" t="str">
        <x:v>Wave 3</x:v>
      </x:c>
      <x:c r="E45" t="str">
        <x:v>standard</x:v>
      </x:c>
      <x:c r="F45" s="12" t="n">
        <x:f>Assumptions!$B$2*Assumptions!$B$3*Assumptions!$B$4</x:f>
        <x:v>2376</x:v>
      </x:c>
      <x:c r="G45" s="12" t="n">
        <x:f>Assumptions!$B$8+Assumptions!$B$9+Assumptions!$B$10</x:f>
        <x:v>7</x:v>
      </x:c>
      <x:c r="H45" s="12" t="n">
        <x:f>IF(E45="RTL",Assumptions!$B$11,IF(E45="CJK",Assumptions!$B$12,IF(D45="Wave 4",Assumptions!$B$13,1)))</x:f>
        <x:v>1</x:v>
      </x:c>
      <x:c r="I45" s="12" t="n">
        <x:f>IF(D45="Wave 1",1.5,IF(D45="Wave 2",1.2,1.0))</x:f>
        <x:v>1</x:v>
      </x:c>
      <x:c r="J45" s="12" t="n">
        <x:f>(G45*Assumptions!$B$5 + I45*Assumptions!$B$7) * H45</x:f>
        <x:v>228</x:v>
      </x:c>
      <x:c r="K45" t="str">
        <x:f>IF(D45="Wave 1","native reviewer + screenshot QA",IF(E45="RTL","senior reviewer or specialist",IF(E45="CJK","native reviewer with UI screenshot review","native reviewer")))</x:f>
        <x:v>native reviewer</x:v>
      </x:c>
    </x:row>
    <x:row r="46">
      <x:c r="A46" t="str">
        <x:v>bg-BG</x:v>
      </x:c>
      <x:c r="B46" t="str">
        <x:v>Bulgarian</x:v>
      </x:c>
      <x:c r="C46" t="str">
        <x:v>Bulgaria</x:v>
      </x:c>
      <x:c r="D46" t="str">
        <x:v>Wave 4</x:v>
      </x:c>
      <x:c r="E46" t="str">
        <x:v>standard</x:v>
      </x:c>
      <x:c r="F46" s="12" t="n">
        <x:f>Assumptions!$B$2*Assumptions!$B$3*Assumptions!$B$4</x:f>
        <x:v>2376</x:v>
      </x:c>
      <x:c r="G46" s="12" t="n">
        <x:f>Assumptions!$B$8+Assumptions!$B$9+Assumptions!$B$10</x:f>
        <x:v>7</x:v>
      </x:c>
      <x:c r="H46" s="12" t="n">
        <x:f>IF(E46="RTL",Assumptions!$B$11,IF(E46="CJK",Assumptions!$B$12,IF(D46="Wave 4",Assumptions!$B$13,1)))</x:f>
        <x:v>0.85</x:v>
      </x:c>
      <x:c r="I46" s="12" t="n">
        <x:f>IF(D46="Wave 1",1.5,IF(D46="Wave 2",1.2,1.0))</x:f>
        <x:v>1</x:v>
      </x:c>
      <x:c r="J46" s="12" t="n">
        <x:f>(G46*Assumptions!$B$5 + I46*Assumptions!$B$7) * H46</x:f>
        <x:v>193.79999999999998</x:v>
      </x:c>
      <x:c r="K46" t="str">
        <x:f>IF(D46="Wave 1","native reviewer + screenshot QA",IF(E46="RTL","senior reviewer or specialist",IF(E46="CJK","native reviewer with UI screenshot review","native reviewer")))</x:f>
        <x:v>native reviewer</x:v>
      </x:c>
    </x:row>
    <x:row r="47">
      <x:c r="A47" t="str">
        <x:v>sr-Cyrl-RS</x:v>
      </x:c>
      <x:c r="B47" t="str">
        <x:v>Serbian Cyrillic</x:v>
      </x:c>
      <x:c r="C47" t="str">
        <x:v>Serbia</x:v>
      </x:c>
      <x:c r="D47" t="str">
        <x:v>Wave 4</x:v>
      </x:c>
      <x:c r="E47" t="str">
        <x:v>standard</x:v>
      </x:c>
      <x:c r="F47" s="12" t="n">
        <x:f>Assumptions!$B$2*Assumptions!$B$3*Assumptions!$B$4</x:f>
        <x:v>2376</x:v>
      </x:c>
      <x:c r="G47" s="12" t="n">
        <x:f>Assumptions!$B$8+Assumptions!$B$9+Assumptions!$B$10</x:f>
        <x:v>7</x:v>
      </x:c>
      <x:c r="H47" s="12" t="n">
        <x:f>IF(E47="RTL",Assumptions!$B$11,IF(E47="CJK",Assumptions!$B$12,IF(D47="Wave 4",Assumptions!$B$13,1)))</x:f>
        <x:v>0.85</x:v>
      </x:c>
      <x:c r="I47" s="12" t="n">
        <x:f>IF(D47="Wave 1",1.5,IF(D47="Wave 2",1.2,1.0))</x:f>
        <x:v>1</x:v>
      </x:c>
      <x:c r="J47" s="12" t="n">
        <x:f>(G47*Assumptions!$B$5 + I47*Assumptions!$B$7) * H47</x:f>
        <x:v>193.79999999999998</x:v>
      </x:c>
      <x:c r="K47" t="str">
        <x:f>IF(D47="Wave 1","native reviewer + screenshot QA",IF(E47="RTL","senior reviewer or specialist",IF(E47="CJK","native reviewer with UI screenshot review","native reviewer")))</x:f>
        <x:v>native reviewer</x:v>
      </x:c>
    </x:row>
    <x:row r="48">
      <x:c r="A48" t="str">
        <x:v>sr-Latn-RS</x:v>
      </x:c>
      <x:c r="B48" t="str">
        <x:v>Serbian Latin</x:v>
      </x:c>
      <x:c r="C48" t="str">
        <x:v>Serbia</x:v>
      </x:c>
      <x:c r="D48" t="str">
        <x:v>Wave 4</x:v>
      </x:c>
      <x:c r="E48" t="str">
        <x:v>standard</x:v>
      </x:c>
      <x:c r="F48" s="12" t="n">
        <x:f>Assumptions!$B$2*Assumptions!$B$3*Assumptions!$B$4</x:f>
        <x:v>2376</x:v>
      </x:c>
      <x:c r="G48" s="12" t="n">
        <x:f>Assumptions!$B$8+Assumptions!$B$9+Assumptions!$B$10</x:f>
        <x:v>7</x:v>
      </x:c>
      <x:c r="H48" s="12" t="n">
        <x:f>IF(E48="RTL",Assumptions!$B$11,IF(E48="CJK",Assumptions!$B$12,IF(D48="Wave 4",Assumptions!$B$13,1)))</x:f>
        <x:v>0.85</x:v>
      </x:c>
      <x:c r="I48" s="12" t="n">
        <x:f>IF(D48="Wave 1",1.5,IF(D48="Wave 2",1.2,1.0))</x:f>
        <x:v>1</x:v>
      </x:c>
      <x:c r="J48" s="12" t="n">
        <x:f>(G48*Assumptions!$B$5 + I48*Assumptions!$B$7) * H48</x:f>
        <x:v>193.79999999999998</x:v>
      </x:c>
      <x:c r="K48" t="str">
        <x:f>IF(D48="Wave 1","native reviewer + screenshot QA",IF(E48="RTL","senior reviewer or specialist",IF(E48="CJK","native reviewer with UI screenshot review","native reviewer")))</x:f>
        <x:v>native reviewer</x:v>
      </x:c>
    </x:row>
    <x:row r="49">
      <x:c r="A49" t="str">
        <x:v>hr-HR</x:v>
      </x:c>
      <x:c r="B49" t="str">
        <x:v>Croatian</x:v>
      </x:c>
      <x:c r="C49" t="str">
        <x:v>Croatia</x:v>
      </x:c>
      <x:c r="D49" t="str">
        <x:v>Wave 4</x:v>
      </x:c>
      <x:c r="E49" t="str">
        <x:v>standard</x:v>
      </x:c>
      <x:c r="F49" s="12" t="n">
        <x:f>Assumptions!$B$2*Assumptions!$B$3*Assumptions!$B$4</x:f>
        <x:v>2376</x:v>
      </x:c>
      <x:c r="G49" s="12" t="n">
        <x:f>Assumptions!$B$8+Assumptions!$B$9+Assumptions!$B$10</x:f>
        <x:v>7</x:v>
      </x:c>
      <x:c r="H49" s="12" t="n">
        <x:f>IF(E49="RTL",Assumptions!$B$11,IF(E49="CJK",Assumptions!$B$12,IF(D49="Wave 4",Assumptions!$B$13,1)))</x:f>
        <x:v>0.85</x:v>
      </x:c>
      <x:c r="I49" s="12" t="n">
        <x:f>IF(D49="Wave 1",1.5,IF(D49="Wave 2",1.2,1.0))</x:f>
        <x:v>1</x:v>
      </x:c>
      <x:c r="J49" s="12" t="n">
        <x:f>(G49*Assumptions!$B$5 + I49*Assumptions!$B$7) * H49</x:f>
        <x:v>193.79999999999998</x:v>
      </x:c>
      <x:c r="K49" t="str">
        <x:f>IF(D49="Wave 1","native reviewer + screenshot QA",IF(E49="RTL","senior reviewer or specialist",IF(E49="CJK","native reviewer with UI screenshot review","native reviewer")))</x:f>
        <x:v>native reviewer</x:v>
      </x:c>
    </x:row>
    <x:row r="50">
      <x:c r="A50" t="str">
        <x:v>sk-SK</x:v>
      </x:c>
      <x:c r="B50" t="str">
        <x:v>Slovak</x:v>
      </x:c>
      <x:c r="C50" t="str">
        <x:v>Slovakia</x:v>
      </x:c>
      <x:c r="D50" t="str">
        <x:v>Wave 4</x:v>
      </x:c>
      <x:c r="E50" t="str">
        <x:v>standard</x:v>
      </x:c>
      <x:c r="F50" s="12" t="n">
        <x:f>Assumptions!$B$2*Assumptions!$B$3*Assumptions!$B$4</x:f>
        <x:v>2376</x:v>
      </x:c>
      <x:c r="G50" s="12" t="n">
        <x:f>Assumptions!$B$8+Assumptions!$B$9+Assumptions!$B$10</x:f>
        <x:v>7</x:v>
      </x:c>
      <x:c r="H50" s="12" t="n">
        <x:f>IF(E50="RTL",Assumptions!$B$11,IF(E50="CJK",Assumptions!$B$12,IF(D50="Wave 4",Assumptions!$B$13,1)))</x:f>
        <x:v>0.85</x:v>
      </x:c>
      <x:c r="I50" s="12" t="n">
        <x:f>IF(D50="Wave 1",1.5,IF(D50="Wave 2",1.2,1.0))</x:f>
        <x:v>1</x:v>
      </x:c>
      <x:c r="J50" s="12" t="n">
        <x:f>(G50*Assumptions!$B$5 + I50*Assumptions!$B$7) * H50</x:f>
        <x:v>193.79999999999998</x:v>
      </x:c>
      <x:c r="K50" t="str">
        <x:f>IF(D50="Wave 1","native reviewer + screenshot QA",IF(E50="RTL","senior reviewer or specialist",IF(E50="CJK","native reviewer with UI screenshot review","native reviewer")))</x:f>
        <x:v>native reviewer</x:v>
      </x:c>
    </x:row>
    <x:row r="51">
      <x:c r="A51" t="str">
        <x:v>sl-SI</x:v>
      </x:c>
      <x:c r="B51" t="str">
        <x:v>Slovenian</x:v>
      </x:c>
      <x:c r="C51" t="str">
        <x:v>Slovenia</x:v>
      </x:c>
      <x:c r="D51" t="str">
        <x:v>Wave 4</x:v>
      </x:c>
      <x:c r="E51" t="str">
        <x:v>standard</x:v>
      </x:c>
      <x:c r="F51" s="12" t="n">
        <x:f>Assumptions!$B$2*Assumptions!$B$3*Assumptions!$B$4</x:f>
        <x:v>2376</x:v>
      </x:c>
      <x:c r="G51" s="12" t="n">
        <x:f>Assumptions!$B$8+Assumptions!$B$9+Assumptions!$B$10</x:f>
        <x:v>7</x:v>
      </x:c>
      <x:c r="H51" s="12" t="n">
        <x:f>IF(E51="RTL",Assumptions!$B$11,IF(E51="CJK",Assumptions!$B$12,IF(D51="Wave 4",Assumptions!$B$13,1)))</x:f>
        <x:v>0.85</x:v>
      </x:c>
      <x:c r="I51" s="12" t="n">
        <x:f>IF(D51="Wave 1",1.5,IF(D51="Wave 2",1.2,1.0))</x:f>
        <x:v>1</x:v>
      </x:c>
      <x:c r="J51" s="12" t="n">
        <x:f>(G51*Assumptions!$B$5 + I51*Assumptions!$B$7) * H51</x:f>
        <x:v>193.79999999999998</x:v>
      </x:c>
      <x:c r="K51" t="str">
        <x:f>IF(D51="Wave 1","native reviewer + screenshot QA",IF(E51="RTL","senior reviewer or specialist",IF(E51="CJK","native reviewer with UI screenshot review","native reviewer")))</x:f>
        <x:v>native reviewer</x:v>
      </x:c>
    </x:row>
    <x:row r="52">
      <x:c r="A52" t="str">
        <x:v>id-ID</x:v>
      </x:c>
      <x:c r="B52" t="str">
        <x:v>Indonesian</x:v>
      </x:c>
      <x:c r="C52" t="str">
        <x:v>Indonesia</x:v>
      </x:c>
      <x:c r="D52" t="str">
        <x:v>Wave 1</x:v>
      </x:c>
      <x:c r="E52" t="str">
        <x:v>standard</x:v>
      </x:c>
      <x:c r="F52" s="12" t="n">
        <x:f>Assumptions!$B$2*Assumptions!$B$3*Assumptions!$B$4</x:f>
        <x:v>2376</x:v>
      </x:c>
      <x:c r="G52" s="12" t="n">
        <x:f>Assumptions!$B$8+Assumptions!$B$9+Assumptions!$B$10</x:f>
        <x:v>7</x:v>
      </x:c>
      <x:c r="H52" s="12" t="n">
        <x:f>IF(E52="RTL",Assumptions!$B$11,IF(E52="CJK",Assumptions!$B$12,IF(D52="Wave 4",Assumptions!$B$13,1)))</x:f>
        <x:v>1</x:v>
      </x:c>
      <x:c r="I52" s="12" t="n">
        <x:f>IF(D52="Wave 1",1.5,IF(D52="Wave 2",1.2,1.0))</x:f>
        <x:v>1.5</x:v>
      </x:c>
      <x:c r="J52" s="12" t="n">
        <x:f>(G52*Assumptions!$B$5 + I52*Assumptions!$B$7) * H52</x:f>
        <x:v>244</x:v>
      </x:c>
      <x:c r="K52" t="str">
        <x:f>IF(D52="Wave 1","native reviewer + screenshot QA",IF(E52="RTL","senior reviewer or specialist",IF(E52="CJK","native reviewer with UI screenshot review","native reviewer")))</x:f>
        <x:v>native reviewer + screenshot QA</x:v>
      </x:c>
    </x:row>
    <x:row r="53">
      <x:c r="A53" t="str">
        <x:v>fil-PH</x:v>
      </x:c>
      <x:c r="B53" t="str">
        <x:v>Filipino</x:v>
      </x:c>
      <x:c r="C53" t="str">
        <x:v>Philippines</x:v>
      </x:c>
      <x:c r="D53" t="str">
        <x:v>Wave 2</x:v>
      </x:c>
      <x:c r="E53" t="str">
        <x:v>standard</x:v>
      </x:c>
      <x:c r="F53" s="12" t="n">
        <x:f>Assumptions!$B$2*Assumptions!$B$3*Assumptions!$B$4</x:f>
        <x:v>2376</x:v>
      </x:c>
      <x:c r="G53" s="12" t="n">
        <x:f>Assumptions!$B$8+Assumptions!$B$9+Assumptions!$B$10</x:f>
        <x:v>7</x:v>
      </x:c>
      <x:c r="H53" s="12" t="n">
        <x:f>IF(E53="RTL",Assumptions!$B$11,IF(E53="CJK",Assumptions!$B$12,IF(D53="Wave 4",Assumptions!$B$13,1)))</x:f>
        <x:v>1</x:v>
      </x:c>
      <x:c r="I53" s="12" t="n">
        <x:f>IF(D53="Wave 1",1.5,IF(D53="Wave 2",1.2,1.0))</x:f>
        <x:v>1.2</x:v>
      </x:c>
      <x:c r="J53" s="12" t="n">
        <x:f>(G53*Assumptions!$B$5 + I53*Assumptions!$B$7) * H53</x:f>
        <x:v>234.4</x:v>
      </x:c>
      <x:c r="K53" t="str">
        <x:f>IF(D53="Wave 1","native reviewer + screenshot QA",IF(E53="RTL","senior reviewer or specialist",IF(E53="CJK","native reviewer with UI screenshot review","native reviewer")))</x:f>
        <x:v>native reviewer</x:v>
      </x:c>
    </x:row>
    <x:row r="54">
      <x:c r="A54" t="str">
        <x:v>mr-IN</x:v>
      </x:c>
      <x:c r="B54" t="str">
        <x:v>Marathi</x:v>
      </x:c>
      <x:c r="C54" t="str">
        <x:v>India</x:v>
      </x:c>
      <x:c r="D54" t="str">
        <x:v>Wave 2</x:v>
      </x:c>
      <x:c r="E54" t="str">
        <x:v>standard</x:v>
      </x:c>
      <x:c r="F54" s="12" t="n">
        <x:f>Assumptions!$B$2*Assumptions!$B$3*Assumptions!$B$4</x:f>
        <x:v>2376</x:v>
      </x:c>
      <x:c r="G54" s="12" t="n">
        <x:f>Assumptions!$B$8+Assumptions!$B$9+Assumptions!$B$10</x:f>
        <x:v>7</x:v>
      </x:c>
      <x:c r="H54" s="12" t="n">
        <x:f>IF(E54="RTL",Assumptions!$B$11,IF(E54="CJK",Assumptions!$B$12,IF(D54="Wave 4",Assumptions!$B$13,1)))</x:f>
        <x:v>1</x:v>
      </x:c>
      <x:c r="I54" s="12" t="n">
        <x:f>IF(D54="Wave 1",1.5,IF(D54="Wave 2",1.2,1.0))</x:f>
        <x:v>1.2</x:v>
      </x:c>
      <x:c r="J54" s="12" t="n">
        <x:f>(G54*Assumptions!$B$5 + I54*Assumptions!$B$7) * H54</x:f>
        <x:v>234.4</x:v>
      </x:c>
      <x:c r="K54" t="str">
        <x:f>IF(D54="Wave 1","native reviewer + screenshot QA",IF(E54="RTL","senior reviewer or specialist",IF(E54="CJK","native reviewer with UI screenshot review","native reviewer")))</x:f>
        <x:v>native reviewer</x:v>
      </x:c>
    </x:row>
    <x:row r="55">
      <x:c r="A55" t="str">
        <x:v>te-IN</x:v>
      </x:c>
      <x:c r="B55" t="str">
        <x:v>Telugu</x:v>
      </x:c>
      <x:c r="C55" t="str">
        <x:v>India</x:v>
      </x:c>
      <x:c r="D55" t="str">
        <x:v>Wave 2</x:v>
      </x:c>
      <x:c r="E55" t="str">
        <x:v>standard</x:v>
      </x:c>
      <x:c r="F55" s="12" t="n">
        <x:f>Assumptions!$B$2*Assumptions!$B$3*Assumptions!$B$4</x:f>
        <x:v>2376</x:v>
      </x:c>
      <x:c r="G55" s="12" t="n">
        <x:f>Assumptions!$B$8+Assumptions!$B$9+Assumptions!$B$10</x:f>
        <x:v>7</x:v>
      </x:c>
      <x:c r="H55" s="12" t="n">
        <x:f>IF(E55="RTL",Assumptions!$B$11,IF(E55="CJK",Assumptions!$B$12,IF(D55="Wave 4",Assumptions!$B$13,1)))</x:f>
        <x:v>1</x:v>
      </x:c>
      <x:c r="I55" s="12" t="n">
        <x:f>IF(D55="Wave 1",1.5,IF(D55="Wave 2",1.2,1.0))</x:f>
        <x:v>1.2</x:v>
      </x:c>
      <x:c r="J55" s="12" t="n">
        <x:f>(G55*Assumptions!$B$5 + I55*Assumptions!$B$7) * H55</x:f>
        <x:v>234.4</x:v>
      </x:c>
      <x:c r="K55" t="str">
        <x:f>IF(D55="Wave 1","native reviewer + screenshot QA",IF(E55="RTL","senior reviewer or specialist",IF(E55="CJK","native reviewer with UI screenshot review","native reviewer")))</x:f>
        <x:v>native reviewer</x:v>
      </x:c>
    </x:row>
    <x:row r="56">
      <x:c r="A56" t="str">
        <x:v>gu-IN</x:v>
      </x:c>
      <x:c r="B56" t="str">
        <x:v>Gujarati</x:v>
      </x:c>
      <x:c r="C56" t="str">
        <x:v>India</x:v>
      </x:c>
      <x:c r="D56" t="str">
        <x:v>Wave 3</x:v>
      </x:c>
      <x:c r="E56" t="str">
        <x:v>standard</x:v>
      </x:c>
      <x:c r="F56" s="12" t="n">
        <x:f>Assumptions!$B$2*Assumptions!$B$3*Assumptions!$B$4</x:f>
        <x:v>2376</x:v>
      </x:c>
      <x:c r="G56" s="12" t="n">
        <x:f>Assumptions!$B$8+Assumptions!$B$9+Assumptions!$B$10</x:f>
        <x:v>7</x:v>
      </x:c>
      <x:c r="H56" s="12" t="n">
        <x:f>IF(E56="RTL",Assumptions!$B$11,IF(E56="CJK",Assumptions!$B$12,IF(D56="Wave 4",Assumptions!$B$13,1)))</x:f>
        <x:v>1</x:v>
      </x:c>
      <x:c r="I56" s="12" t="n">
        <x:f>IF(D56="Wave 1",1.5,IF(D56="Wave 2",1.2,1.0))</x:f>
        <x:v>1</x:v>
      </x:c>
      <x:c r="J56" s="12" t="n">
        <x:f>(G56*Assumptions!$B$5 + I56*Assumptions!$B$7) * H56</x:f>
        <x:v>228</x:v>
      </x:c>
      <x:c r="K56" t="str">
        <x:f>IF(D56="Wave 1","native reviewer + screenshot QA",IF(E56="RTL","senior reviewer or specialist",IF(E56="CJK","native reviewer with UI screenshot review","native reviewer")))</x:f>
        <x:v>native reviewer</x:v>
      </x:c>
    </x:row>
    <x:row r="57">
      <x:c r="A57" t="str">
        <x:v>pa-Guru-IN</x:v>
      </x:c>
      <x:c r="B57" t="str">
        <x:v>Punjabi Gurmukhi</x:v>
      </x:c>
      <x:c r="C57" t="str">
        <x:v>India</x:v>
      </x:c>
      <x:c r="D57" t="str">
        <x:v>Wave 3</x:v>
      </x:c>
      <x:c r="E57" t="str">
        <x:v>standard</x:v>
      </x:c>
      <x:c r="F57" s="12" t="n">
        <x:f>Assumptions!$B$2*Assumptions!$B$3*Assumptions!$B$4</x:f>
        <x:v>2376</x:v>
      </x:c>
      <x:c r="G57" s="12" t="n">
        <x:f>Assumptions!$B$8+Assumptions!$B$9+Assumptions!$B$10</x:f>
        <x:v>7</x:v>
      </x:c>
      <x:c r="H57" s="12" t="n">
        <x:f>IF(E57="RTL",Assumptions!$B$11,IF(E57="CJK",Assumptions!$B$12,IF(D57="Wave 4",Assumptions!$B$13,1)))</x:f>
        <x:v>1</x:v>
      </x:c>
      <x:c r="I57" s="12" t="n">
        <x:f>IF(D57="Wave 1",1.5,IF(D57="Wave 2",1.2,1.0))</x:f>
        <x:v>1</x:v>
      </x:c>
      <x:c r="J57" s="12" t="n">
        <x:f>(G57*Assumptions!$B$5 + I57*Assumptions!$B$7) * H57</x:f>
        <x:v>228</x:v>
      </x:c>
      <x:c r="K57" t="str">
        <x:f>IF(D57="Wave 1","native reviewer + screenshot QA",IF(E57="RTL","senior reviewer or specialist",IF(E57="CJK","native reviewer with UI screenshot review","native reviewer")))</x:f>
        <x:v>native reviewer</x:v>
      </x:c>
    </x:row>
    <x:row r="58">
      <x:c r="A58" t="str">
        <x:v>pnb-Arab-PK</x:v>
      </x:c>
      <x:c r="B58" t="str">
        <x:v>Punjabi Shahmukhi</x:v>
      </x:c>
      <x:c r="C58" t="str">
        <x:v>Pakistan</x:v>
      </x:c>
      <x:c r="D58" t="str">
        <x:v>Wave 3</x:v>
      </x:c>
      <x:c r="E58" t="str">
        <x:v>RTL</x:v>
      </x:c>
      <x:c r="F58" s="12" t="n">
        <x:f>Assumptions!$B$2*Assumptions!$B$3*Assumptions!$B$4</x:f>
        <x:v>2376</x:v>
      </x:c>
      <x:c r="G58" s="12" t="n">
        <x:f>Assumptions!$B$8+Assumptions!$B$9+Assumptions!$B$10</x:f>
        <x:v>7</x:v>
      </x:c>
      <x:c r="H58" s="12" t="n">
        <x:f>IF(E58="RTL",Assumptions!$B$11,IF(E58="CJK",Assumptions!$B$12,IF(D58="Wave 4",Assumptions!$B$13,1)))</x:f>
        <x:v>1.35</x:v>
      </x:c>
      <x:c r="I58" s="12" t="n">
        <x:f>IF(D58="Wave 1",1.5,IF(D58="Wave 2",1.2,1.0))</x:f>
        <x:v>1</x:v>
      </x:c>
      <x:c r="J58" s="12" t="n">
        <x:f>(G58*Assumptions!$B$5 + I58*Assumptions!$B$7) * H58</x:f>
        <x:v>307.8</x:v>
      </x:c>
      <x:c r="K58" t="str">
        <x:f>IF(D58="Wave 1","native reviewer + screenshot QA",IF(E58="RTL","senior reviewer or specialist",IF(E58="CJK","native reviewer with UI screenshot review","native reviewer")))</x:f>
        <x:v>senior reviewer or specialist</x:v>
      </x:c>
    </x:row>
    <x:row r="59">
      <x:c r="A59" t="str">
        <x:v>ps-AF</x:v>
      </x:c>
      <x:c r="B59" t="str">
        <x:v>Pashto</x:v>
      </x:c>
      <x:c r="C59" t="str">
        <x:v>Afghanistan</x:v>
      </x:c>
      <x:c r="D59" t="str">
        <x:v>Wave 3</x:v>
      </x:c>
      <x:c r="E59" t="str">
        <x:v>RTL</x:v>
      </x:c>
      <x:c r="F59" s="12" t="n">
        <x:f>Assumptions!$B$2*Assumptions!$B$3*Assumptions!$B$4</x:f>
        <x:v>2376</x:v>
      </x:c>
      <x:c r="G59" s="12" t="n">
        <x:f>Assumptions!$B$8+Assumptions!$B$9+Assumptions!$B$10</x:f>
        <x:v>7</x:v>
      </x:c>
      <x:c r="H59" s="12" t="n">
        <x:f>IF(E59="RTL",Assumptions!$B$11,IF(E59="CJK",Assumptions!$B$12,IF(D59="Wave 4",Assumptions!$B$13,1)))</x:f>
        <x:v>1.35</x:v>
      </x:c>
      <x:c r="I59" s="12" t="n">
        <x:f>IF(D59="Wave 1",1.5,IF(D59="Wave 2",1.2,1.0))</x:f>
        <x:v>1</x:v>
      </x:c>
      <x:c r="J59" s="12" t="n">
        <x:f>(G59*Assumptions!$B$5 + I59*Assumptions!$B$7) * H59</x:f>
        <x:v>307.8</x:v>
      </x:c>
      <x:c r="K59" t="str">
        <x:f>IF(D59="Wave 1","native reviewer + screenshot QA",IF(E59="RTL","senior reviewer or specialist",IF(E59="CJK","native reviewer with UI screenshot review","native reviewer")))</x:f>
        <x:v>senior reviewer or specialist</x:v>
      </x:c>
    </x:row>
    <x:row r="60">
      <x:c r="A60" t="str">
        <x:v>ps-PK</x:v>
      </x:c>
      <x:c r="B60" t="str">
        <x:v>Pashto</x:v>
      </x:c>
      <x:c r="C60" t="str">
        <x:v>Pakistan</x:v>
      </x:c>
      <x:c r="D60" t="str">
        <x:v>Wave 3</x:v>
      </x:c>
      <x:c r="E60" t="str">
        <x:v>RTL</x:v>
      </x:c>
      <x:c r="F60" s="12" t="n">
        <x:f>Assumptions!$B$2*Assumptions!$B$3*Assumptions!$B$4</x:f>
        <x:v>2376</x:v>
      </x:c>
      <x:c r="G60" s="12" t="n">
        <x:f>Assumptions!$B$8+Assumptions!$B$9+Assumptions!$B$10</x:f>
        <x:v>7</x:v>
      </x:c>
      <x:c r="H60" s="12" t="n">
        <x:f>IF(E60="RTL",Assumptions!$B$11,IF(E60="CJK",Assumptions!$B$12,IF(D60="Wave 4",Assumptions!$B$13,1)))</x:f>
        <x:v>1.35</x:v>
      </x:c>
      <x:c r="I60" s="12" t="n">
        <x:f>IF(D60="Wave 1",1.5,IF(D60="Wave 2",1.2,1.0))</x:f>
        <x:v>1</x:v>
      </x:c>
      <x:c r="J60" s="12" t="n">
        <x:f>(G60*Assumptions!$B$5 + I60*Assumptions!$B$7) * H60</x:f>
        <x:v>307.8</x:v>
      </x:c>
      <x:c r="K60" t="str">
        <x:f>IF(D60="Wave 1","native reviewer + screenshot QA",IF(E60="RTL","senior reviewer or specialist",IF(E60="CJK","native reviewer with UI screenshot review","native reviewer")))</x:f>
        <x:v>senior reviewer or specialist</x:v>
      </x:c>
    </x:row>
    <x:row r="61">
      <x:c r="A61" t="str">
        <x:v>pcm-NG</x:v>
      </x:c>
      <x:c r="B61" t="str">
        <x:v>Nigerian Pidgin</x:v>
      </x:c>
      <x:c r="C61" t="str">
        <x:v>Nigeria</x:v>
      </x:c>
      <x:c r="D61" t="str">
        <x:v>Wave 4</x:v>
      </x:c>
      <x:c r="E61" t="str">
        <x:v>standard</x:v>
      </x:c>
      <x:c r="F61" s="12" t="n">
        <x:f>Assumptions!$B$2*Assumptions!$B$3*Assumptions!$B$4</x:f>
        <x:v>2376</x:v>
      </x:c>
      <x:c r="G61" s="12" t="n">
        <x:f>Assumptions!$B$8+Assumptions!$B$9+Assumptions!$B$10</x:f>
        <x:v>7</x:v>
      </x:c>
      <x:c r="H61" s="12" t="n">
        <x:f>IF(E61="RTL",Assumptions!$B$11,IF(E61="CJK",Assumptions!$B$12,IF(D61="Wave 4",Assumptions!$B$13,1)))</x:f>
        <x:v>0.85</x:v>
      </x:c>
      <x:c r="I61" s="12" t="n">
        <x:f>IF(D61="Wave 1",1.5,IF(D61="Wave 2",1.2,1.0))</x:f>
        <x:v>1</x:v>
      </x:c>
      <x:c r="J61" s="12" t="n">
        <x:f>(G61*Assumptions!$B$5 + I61*Assumptions!$B$7) * H61</x:f>
        <x:v>193.79999999999998</x:v>
      </x:c>
      <x:c r="K61" t="str">
        <x:f>IF(D61="Wave 1","native reviewer + screenshot QA",IF(E61="RTL","senior reviewer or specialist",IF(E61="CJK","native reviewer with UI screenshot review","native reviewer")))</x:f>
        <x:v>native reviewer</x:v>
      </x:c>
    </x:row>
    <x:row r="62">
      <x:c r="A62" t="str">
        <x:v>yue-Hant-HK</x:v>
      </x:c>
      <x:c r="B62" t="str">
        <x:v>Cantonese Traditional</x:v>
      </x:c>
      <x:c r="C62" t="str">
        <x:v>Hong Kong</x:v>
      </x:c>
      <x:c r="D62" t="str">
        <x:v>Wave 4</x:v>
      </x:c>
      <x:c r="E62" t="str">
        <x:v>CJK</x:v>
      </x:c>
      <x:c r="F62" s="12" t="n">
        <x:f>Assumptions!$B$2*Assumptions!$B$3*Assumptions!$B$4</x:f>
        <x:v>2376</x:v>
      </x:c>
      <x:c r="G62" s="12" t="n">
        <x:f>Assumptions!$B$8+Assumptions!$B$9+Assumptions!$B$10</x:f>
        <x:v>7</x:v>
      </x:c>
      <x:c r="H62" s="12" t="n">
        <x:f>IF(E62="RTL",Assumptions!$B$11,IF(E62="CJK",Assumptions!$B$12,IF(D62="Wave 4",Assumptions!$B$13,1)))</x:f>
        <x:v>1.2</x:v>
      </x:c>
      <x:c r="I62" s="12" t="n">
        <x:f>IF(D62="Wave 1",1.5,IF(D62="Wave 2",1.2,1.0))</x:f>
        <x:v>1</x:v>
      </x:c>
      <x:c r="J62" s="12" t="n">
        <x:f>(G62*Assumptions!$B$5 + I62*Assumptions!$B$7) * H62</x:f>
        <x:v>273.59999999999997</x:v>
      </x:c>
      <x:c r="K62" t="str">
        <x:f>IF(D62="Wave 1","native reviewer + screenshot QA",IF(E62="RTL","senior reviewer or specialist",IF(E62="CJK","native reviewer with UI screenshot review","native reviewer")))</x:f>
        <x:v>native reviewer with UI screenshot review</x:v>
      </x:c>
    </x:row>
    <x:row r="63">
      <x:c r="A63" t="str">
        <x:v>wuu-Hans-CN</x:v>
      </x:c>
      <x:c r="B63" t="str">
        <x:v>Wu Chinese</x:v>
      </x:c>
      <x:c r="C63" t="str">
        <x:v>China</x:v>
      </x:c>
      <x:c r="D63" t="str">
        <x:v>Wave 4</x:v>
      </x:c>
      <x:c r="E63" t="str">
        <x:v>CJK</x:v>
      </x:c>
      <x:c r="F63" s="12" t="n">
        <x:f>Assumptions!$B$2*Assumptions!$B$3*Assumptions!$B$4</x:f>
        <x:v>2376</x:v>
      </x:c>
      <x:c r="G63" s="12" t="n">
        <x:f>Assumptions!$B$8+Assumptions!$B$9+Assumptions!$B$10</x:f>
        <x:v>7</x:v>
      </x:c>
      <x:c r="H63" s="12" t="n">
        <x:f>IF(E63="RTL",Assumptions!$B$11,IF(E63="CJK",Assumptions!$B$12,IF(D63="Wave 4",Assumptions!$B$13,1)))</x:f>
        <x:v>1.2</x:v>
      </x:c>
      <x:c r="I63" s="12" t="n">
        <x:f>IF(D63="Wave 1",1.5,IF(D63="Wave 2",1.2,1.0))</x:f>
        <x:v>1</x:v>
      </x:c>
      <x:c r="J63" s="12" t="n">
        <x:f>(G63*Assumptions!$B$5 + I63*Assumptions!$B$7) * H63</x:f>
        <x:v>273.59999999999997</x:v>
      </x:c>
      <x:c r="K63" t="str">
        <x:f>IF(D63="Wave 1","native reviewer + screenshot QA",IF(E63="RTL","senior reviewer or specialist",IF(E63="CJK","native reviewer with UI screenshot review","native reviewer")))</x:f>
        <x:v>native reviewer with UI screenshot review</x:v>
      </x:c>
    </x:row>
  </x:sheetData>
  <x:conditionalFormatting sqref="J2:J63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f1851067afd48c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.6899995803833" hidden="0" customWidth="1"/>
    <x:col min="2" max="2" width="13.59000015258789" hidden="0" customWidth="1"/>
    <x:col min="3" max="3" width="17.6299991607666" hidden="0" customWidth="1"/>
    <x:col min="4" max="4" width="18.84000015258789" hidden="0" customWidth="1"/>
    <x:col min="5" max="5" width="18.440000534057617" hidden="0" customWidth="1"/>
  </x:cols>
  <x:sheetData>
    <x:row r="1">
      <x:c r="A1" s="28" t="str">
        <x:v>Scenario</x:v>
      </x:c>
      <x:c r="B1" s="28" t="str">
        <x:v>Description</x:v>
      </x:c>
      <x:c r="C1" s="28" t="str">
        <x:v>Average multiplier</x:v>
      </x:c>
      <x:c r="D1" s="28" t="str">
        <x:v>Estimated total EUR</x:v>
      </x:c>
      <x:c r="E1" s="28" t="str">
        <x:v>Decision use</x:v>
      </x:c>
    </x:row>
    <x:row r="2">
      <x:c r="A2" t="str">
        <x:v>Lean pilot</x:v>
      </x:c>
      <x:c r="B2" t="str">
        <x:v>Wave 1 only</x:v>
      </x:c>
      <x:c r="C2" s="12" t="n">
        <x:f>SUMIF(Locale_Costs!$D$2:$D$63,"Wave 1",Locale_Costs!$H$2:$H$63)/COUNTIF(Locale_Costs!$D$2:$D$63,"Wave 1")</x:f>
        <x:v>1.0633333333333332</x:v>
      </x:c>
      <x:c r="D2" s="12" t="n">
        <x:f>SUMIF(Locale_Costs!$D$2:$D$63,"Wave 1",Locale_Costs!$J$2:$J$63)</x:f>
        <x:v>3891.8000000000006</x:v>
      </x:c>
      <x:c r="E2" t="str">
        <x:v>Budgeting first launch</x:v>
      </x:c>
    </x:row>
    <x:row r="3">
      <x:c r="A3" t="str">
        <x:v>Balanced</x:v>
      </x:c>
      <x:c r="B3" t="str">
        <x:v>Wave 1 + Wave 2</x:v>
      </x:c>
      <x:c r="C3" s="12" t="n">
        <x:f>(SUMIF(Locale_Costs!$D$2:$D$63,"Wave 1",Locale_Costs!$H$2:$H$63)+SUMIF(Locale_Costs!$D$2:$D$63,"Wave 2",Locale_Costs!$H$2:$H$63))/(COUNTIF(Locale_Costs!$D$2:$D$63,"Wave 1")+COUNTIF(Locale_Costs!$D$2:$D$63,"Wave 2"))</x:f>
        <x:v>1.0578124999999998</x:v>
      </x:c>
      <x:c r="D3" s="12" t="n">
        <x:f>SUMIF(Locale_Costs!$D$2:$D$63,"Wave 1",Locale_Costs!$J$2:$J$63)+SUMIF(Locale_Costs!$D$2:$D$63,"Wave 2",Locale_Costs!$J$2:$J$63)</x:f>
        <x:v>8087.560000000001</x:v>
      </x:c>
      <x:c r="E3" t="str">
        <x:v>Default operating plan</x:v>
      </x:c>
    </x:row>
    <x:row r="4">
      <x:c r="A4" t="str">
        <x:v>Scale-up</x:v>
      </x:c>
      <x:c r="B4" t="str">
        <x:v>Wave 1 + 2 + 3</x:v>
      </x:c>
      <x:c r="C4" s="12" t="n">
        <x:f>(SUMIF(Locale_Costs!$D$2:$D$63,"Wave 1",Locale_Costs!$H$2:$H$63)+SUMIF(Locale_Costs!$D$2:$D$63,"Wave 2",Locale_Costs!$H$2:$H$63)+SUMIF(Locale_Costs!$D$2:$D$63,"Wave 3",Locale_Costs!$H$2:$H$63))/(COUNTIF(Locale_Costs!$D$2:$D$63,"Wave 1")+COUNTIF(Locale_Costs!$D$2:$D$63,"Wave 2")+COUNTIF(Locale_Costs!$D$2:$D$63,"Wave 3"))</x:f>
        <x:v>1.0691489361702127</x:v>
      </x:c>
      <x:c r="D4" s="12" t="n">
        <x:f>SUMIF(Locale_Costs!$D$2:$D$63,"Wave 1",Locale_Costs!$J$2:$J$63)+SUMIF(Locale_Costs!$D$2:$D$63,"Wave 2",Locale_Costs!$J$2:$J$63)+SUMIF(Locale_Costs!$D$2:$D$63,"Wave 3",Locale_Costs!$J$2:$J$63)</x:f>
        <x:v>11826.760000000002</x:v>
      </x:c>
      <x:c r="E4" t="str">
        <x:v>Regional expansion</x:v>
      </x:c>
    </x:row>
    <x:row r="5">
      <x:c r="A5" t="str">
        <x:v>Long tail</x:v>
      </x:c>
      <x:c r="B5" t="str">
        <x:v>All locales</x:v>
      </x:c>
      <x:c r="C5" s="12" t="n">
        <x:f>AVERAGE(Locale_Costs!$H$2:$H$63)</x:f>
        <x:v>1.0274193548387103</x:v>
      </x:c>
      <x:c r="D5" s="12" t="n">
        <x:f>SUM(Locale_Costs!$J$2:$J$63)</x:f>
        <x:v>14893.35999999999</x:v>
      </x:c>
      <x:c r="E5" t="str">
        <x:v>Strategic roadmap only</x:v>
      </x:c>
    </x:row>
  </x:sheetData>
  <x:pageMargins left="0.7" right="0.7" top="0.75" bottom="0.75" header="0.3" footer="0.3"/>
  <x:tableParts count="1">
    <x:tablePart xmlns:r="http://schemas.openxmlformats.org/officeDocument/2006/relationships" r:id="R6b8e005e7db24b8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.030000686645508" hidden="0" customWidth="1"/>
    <x:col min="2" max="2" width="79.68000030517578" hidden="0" customWidth="1"/>
  </x:cols>
  <x:sheetData>
    <x:row r="1">
      <x:c r="A1" s="37" t="str">
        <x:v>What this model is</x:v>
      </x:c>
      <x:c r="B1" s="37" t="str">
        <x:v>An editable planning budget model for native reviewers, screenshot review and PM coordination.</x:v>
      </x:c>
    </x:row>
    <x:row r="2">
      <x:c r="A2" s="34" t="str">
        <x:v>What this model is not</x:v>
      </x:c>
      <x:c r="B2" s="34" t="str">
        <x:v>It is not a vendor quote, procurement document, or guaranteed market rate.</x:v>
      </x:c>
    </x:row>
    <x:row r="3">
      <x:c r="A3" s="34" t="str">
        <x:v>Best use</x:v>
      </x:c>
      <x:c r="B3" s="34" t="str">
        <x:v>Replace assumption cells with quotes from your reviewer pool, then re-forecast by wave.</x:v>
      </x:c>
    </x:row>
    <x:row r="4">
      <x:c r="A4" s="34" t="str">
        <x:v>Tip</x:v>
      </x:c>
      <x:c r="B4" s="34" t="str">
        <x:v>If a locale is customer-facing and posture/body language is sensitive, keep native review mandatory.</x:v>
      </x:c>
    </x:row>
  </x:sheetData>
  <x:pageMargins left="0.7" right="0.7" top="0.75" bottom="0.75" header="0.3" footer="0.3"/>
</x:worksheet>
</file>